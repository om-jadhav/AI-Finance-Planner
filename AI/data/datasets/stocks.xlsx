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5.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tock_Master" sheetId="2" state="visible" r:id="rId4"/>
    <sheet name="Index_Historical_Trends" sheetId="3" state="visible" r:id="rId5"/>
    <sheet name="Risk_Category_Reference" sheetId="4" state="visible" r:id="rId6"/>
    <sheet name="Sample_Financial_Plans" sheetId="5" state="visible" r:id="rId7"/>
    <sheet name="Customer_Profile_Exampl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<sst xmlns="http://schemas.openxmlformats.org/spreadsheetml/2006/main" count="678" uniqueCount="373">
  <si>
    <t xml:space="preserve">Finance Planning — GenAI Prototype: Synthetic Stock Market Dataset</t>
  </si>
  <si>
    <t xml:space="preserve">Supporting data for: Banking / Finance-Planning GenAI hackathon problem statement</t>
  </si>
  <si>
    <t xml:space="preserve">Purpose</t>
  </si>
  <si>
    <t xml:space="preserve">This workbook supplies the 'stocks / market instruments' data referenced in the problem statement, to be combined with customer profile data (net worth, risk appetite, financial goals) so a GenAI model can generate 2-3 candidate finance plans per customer.</t>
  </si>
  <si>
    <t xml:space="preserve">Important</t>
  </si>
  <si>
    <t xml:space="preserve">All prices, returns, volatility, beta, P/E and dividend-yield figures are SYNTHETICALLY GENERATED (randomised within realistic ranges) for prototyping and demo purposes only. Company names, sectors and index membership are real for realism, but the numbers attached to them are NOT live market data and must never be used for actual investment advice.</t>
  </si>
  <si>
    <t xml:space="preserve">How to use</t>
  </si>
  <si>
    <t xml:space="preserve">1) Stock_Master = investable universe tagged by risk band.  2) Index_Historical_Trends = 10-yr synthetic yearly returns per asset class, for 'past trend' based projections.  3) Risk_Category_Reference = maps a customer's risk appetite to an allocation style.  4) Sample_Financial_Plans = ready-made model portfolios (the '2-3 plans to choose from').  5) Customer_Profile_Examples = worked examples showing profile -&gt; plan mapping, the pattern your GenAI layer should replicate at run-time.</t>
  </si>
  <si>
    <t xml:space="preserve">Suggested GenAI flow</t>
  </si>
  <si>
    <t xml:space="preserve">Build customer profile -&gt; classify risk score -&gt; filter Stock_Master / Sample_Financial_Plans by risk band &amp; goal horizon -&gt; prompt the LLM with the filtered data + past trends -&gt; LLM drafts 2-3 personalised plans with rationale -&gt; customer selects one.</t>
  </si>
  <si>
    <t xml:space="preserve">Sheets: README | Stock_Master | Index_Historical_Trends | Risk_Category_Reference | Sample_Financial_Plans | Customer_Profile_Examples</t>
  </si>
  <si>
    <t xml:space="preserve">Symbol</t>
  </si>
  <si>
    <t xml:space="preserve">Company Name</t>
  </si>
  <si>
    <t xml:space="preserve">Sector</t>
  </si>
  <si>
    <t xml:space="preserve">Market Cap Category</t>
  </si>
  <si>
    <t xml:space="preserve">Index Membership</t>
  </si>
  <si>
    <t xml:space="preserve">Risk Category</t>
  </si>
  <si>
    <t xml:space="preserve">Beta</t>
  </si>
  <si>
    <t xml:space="preserve">Current Price (INR)</t>
  </si>
  <si>
    <t xml:space="preserve">P/E Ratio</t>
  </si>
  <si>
    <t xml:space="preserve">Dividend Yield (%)</t>
  </si>
  <si>
    <t xml:space="preserve">1Y Return (%)</t>
  </si>
  <si>
    <t xml:space="preserve">3Y CAGR (%)</t>
  </si>
  <si>
    <t xml:space="preserve">5Y CAGR (%)</t>
  </si>
  <si>
    <t xml:space="preserve">Volatility / Std Dev (%)</t>
  </si>
  <si>
    <t xml:space="preserve">Risk-Adjusted Return (3Y CAGR / Volatility)</t>
  </si>
  <si>
    <t xml:space="preserve">RELIANCE</t>
  </si>
  <si>
    <t xml:space="preserve">Reliance Industries</t>
  </si>
  <si>
    <t xml:space="preserve">Oil, Gas &amp; Conglomerate</t>
  </si>
  <si>
    <t xml:space="preserve">Large Cap</t>
  </si>
  <si>
    <t xml:space="preserve">Nifty 50</t>
  </si>
  <si>
    <t xml:space="preserve">Medium</t>
  </si>
  <si>
    <t xml:space="preserve">TCS</t>
  </si>
  <si>
    <t xml:space="preserve">Tata Consultancy Services</t>
  </si>
  <si>
    <t xml:space="preserve">IT Services</t>
  </si>
  <si>
    <t xml:space="preserve">Low</t>
  </si>
  <si>
    <t xml:space="preserve">HDFCBANK</t>
  </si>
  <si>
    <t xml:space="preserve">HDFC Bank</t>
  </si>
  <si>
    <t xml:space="preserve">Banking</t>
  </si>
  <si>
    <t xml:space="preserve">ICICIBANK</t>
  </si>
  <si>
    <t xml:space="preserve">ICICI Bank</t>
  </si>
  <si>
    <t xml:space="preserve">INFY</t>
  </si>
  <si>
    <t xml:space="preserve">Infosys</t>
  </si>
  <si>
    <t xml:space="preserve">HINDUNILVR</t>
  </si>
  <si>
    <t xml:space="preserve">Hindustan Unilever</t>
  </si>
  <si>
    <t xml:space="preserve">FMCG</t>
  </si>
  <si>
    <t xml:space="preserve">ITC</t>
  </si>
  <si>
    <t xml:space="preserve">ITC Ltd</t>
  </si>
  <si>
    <t xml:space="preserve">SBIN</t>
  </si>
  <si>
    <t xml:space="preserve">State Bank of India</t>
  </si>
  <si>
    <t xml:space="preserve">Banking (PSU)</t>
  </si>
  <si>
    <t xml:space="preserve">BHARTIARTL</t>
  </si>
  <si>
    <t xml:space="preserve">Bharti Airtel</t>
  </si>
  <si>
    <t xml:space="preserve">Telecom</t>
  </si>
  <si>
    <t xml:space="preserve">KOTAKBANK</t>
  </si>
  <si>
    <t xml:space="preserve">Kotak Mahindra Bank</t>
  </si>
  <si>
    <t xml:space="preserve">LT</t>
  </si>
  <si>
    <t xml:space="preserve">Larsen &amp; Toubro</t>
  </si>
  <si>
    <t xml:space="preserve">Capital Goods / Infra</t>
  </si>
  <si>
    <t xml:space="preserve">BAJFINANCE</t>
  </si>
  <si>
    <t xml:space="preserve">Bajaj Finance</t>
  </si>
  <si>
    <t xml:space="preserve">NBFC</t>
  </si>
  <si>
    <t xml:space="preserve">HCLTECH</t>
  </si>
  <si>
    <t xml:space="preserve">HCL Technologies</t>
  </si>
  <si>
    <t xml:space="preserve">ASIANPAINT</t>
  </si>
  <si>
    <t xml:space="preserve">Asian Paints</t>
  </si>
  <si>
    <t xml:space="preserve">Consumer / Paints</t>
  </si>
  <si>
    <t xml:space="preserve">AXISBANK</t>
  </si>
  <si>
    <t xml:space="preserve">Axis Bank</t>
  </si>
  <si>
    <t xml:space="preserve">MARUTI</t>
  </si>
  <si>
    <t xml:space="preserve">Maruti Suzuki India</t>
  </si>
  <si>
    <t xml:space="preserve">Automobile</t>
  </si>
  <si>
    <t xml:space="preserve">SUNPHARMA</t>
  </si>
  <si>
    <t xml:space="preserve">Sun Pharmaceutical Industries</t>
  </si>
  <si>
    <t xml:space="preserve">Pharma</t>
  </si>
  <si>
    <t xml:space="preserve">TITAN</t>
  </si>
  <si>
    <t xml:space="preserve">Titan Company</t>
  </si>
  <si>
    <t xml:space="preserve">Consumer / Jewellery</t>
  </si>
  <si>
    <t xml:space="preserve">ULTRACEMCO</t>
  </si>
  <si>
    <t xml:space="preserve">UltraTech Cement</t>
  </si>
  <si>
    <t xml:space="preserve">Cement</t>
  </si>
  <si>
    <t xml:space="preserve">NESTLEIND</t>
  </si>
  <si>
    <t xml:space="preserve">Nestle India</t>
  </si>
  <si>
    <t xml:space="preserve">WIPRO</t>
  </si>
  <si>
    <t xml:space="preserve">Wipro</t>
  </si>
  <si>
    <t xml:space="preserve">ADANIENT</t>
  </si>
  <si>
    <t xml:space="preserve">Adani Enterprises</t>
  </si>
  <si>
    <t xml:space="preserve">Conglomerate</t>
  </si>
  <si>
    <t xml:space="preserve">ADANIPORTS</t>
  </si>
  <si>
    <t xml:space="preserve">Adani Ports &amp; SEZ</t>
  </si>
  <si>
    <t xml:space="preserve">Infrastructure</t>
  </si>
  <si>
    <t xml:space="preserve">NTPC</t>
  </si>
  <si>
    <t xml:space="preserve">NTPC Ltd</t>
  </si>
  <si>
    <t xml:space="preserve">Power (PSU)</t>
  </si>
  <si>
    <t xml:space="preserve">POWERGRID</t>
  </si>
  <si>
    <t xml:space="preserve">Power Grid Corp of India</t>
  </si>
  <si>
    <t xml:space="preserve">M&amp;M</t>
  </si>
  <si>
    <t xml:space="preserve">Mahindra &amp; Mahindra</t>
  </si>
  <si>
    <t xml:space="preserve">TATAMOTORS</t>
  </si>
  <si>
    <t xml:space="preserve">Tata Motors</t>
  </si>
  <si>
    <t xml:space="preserve">TATASTEEL</t>
  </si>
  <si>
    <t xml:space="preserve">Tata Steel</t>
  </si>
  <si>
    <t xml:space="preserve">Metals</t>
  </si>
  <si>
    <t xml:space="preserve">JSWSTEEL</t>
  </si>
  <si>
    <t xml:space="preserve">JSW Steel</t>
  </si>
  <si>
    <t xml:space="preserve">INDUSINDBK</t>
  </si>
  <si>
    <t xml:space="preserve">IndusInd Bank</t>
  </si>
  <si>
    <t xml:space="preserve">BAJAJFINSV</t>
  </si>
  <si>
    <t xml:space="preserve">Bajaj Finserv</t>
  </si>
  <si>
    <t xml:space="preserve">Financial Services</t>
  </si>
  <si>
    <t xml:space="preserve">HDFCLIFE</t>
  </si>
  <si>
    <t xml:space="preserve">HDFC Life Insurance</t>
  </si>
  <si>
    <t xml:space="preserve">Insurance</t>
  </si>
  <si>
    <t xml:space="preserve">SBILIFE</t>
  </si>
  <si>
    <t xml:space="preserve">SBI Life Insurance</t>
  </si>
  <si>
    <t xml:space="preserve">GRASIM</t>
  </si>
  <si>
    <t xml:space="preserve">Grasim Industries</t>
  </si>
  <si>
    <t xml:space="preserve">Cement / Diversified</t>
  </si>
  <si>
    <t xml:space="preserve">CIPLA</t>
  </si>
  <si>
    <t xml:space="preserve">Cipla</t>
  </si>
  <si>
    <t xml:space="preserve">DRREDDY</t>
  </si>
  <si>
    <t xml:space="preserve">Dr Reddy's Laboratories</t>
  </si>
  <si>
    <t xml:space="preserve">EICHERMOT</t>
  </si>
  <si>
    <t xml:space="preserve">Eicher Motors</t>
  </si>
  <si>
    <t xml:space="preserve">BRITANNIA</t>
  </si>
  <si>
    <t xml:space="preserve">Britannia Industries</t>
  </si>
  <si>
    <t xml:space="preserve">DIVISLAB</t>
  </si>
  <si>
    <t xml:space="preserve">Divi's Laboratories</t>
  </si>
  <si>
    <t xml:space="preserve">APOLLOHOSP</t>
  </si>
  <si>
    <t xml:space="preserve">Apollo Hospitals</t>
  </si>
  <si>
    <t xml:space="preserve">Healthcare</t>
  </si>
  <si>
    <t xml:space="preserve">HEROMOTOCO</t>
  </si>
  <si>
    <t xml:space="preserve">Hero MotoCorp</t>
  </si>
  <si>
    <t xml:space="preserve">COALINDIA</t>
  </si>
  <si>
    <t xml:space="preserve">Coal India</t>
  </si>
  <si>
    <t xml:space="preserve">Mining (PSU)</t>
  </si>
  <si>
    <t xml:space="preserve">ONGC</t>
  </si>
  <si>
    <t xml:space="preserve">Oil &amp; Natural Gas Corp</t>
  </si>
  <si>
    <t xml:space="preserve">Oil &amp; Gas (PSU)</t>
  </si>
  <si>
    <t xml:space="preserve">BPCL</t>
  </si>
  <si>
    <t xml:space="preserve">Bharat Petroleum Corp</t>
  </si>
  <si>
    <t xml:space="preserve">TECHM</t>
  </si>
  <si>
    <t xml:space="preserve">Tech Mahindra</t>
  </si>
  <si>
    <t xml:space="preserve">UPL</t>
  </si>
  <si>
    <t xml:space="preserve">UPL Ltd</t>
  </si>
  <si>
    <t xml:space="preserve">Chemicals / Agri</t>
  </si>
  <si>
    <t xml:space="preserve">SHRIRAMFIN</t>
  </si>
  <si>
    <t xml:space="preserve">Shriram Finance</t>
  </si>
  <si>
    <t xml:space="preserve">LTIM</t>
  </si>
  <si>
    <t xml:space="preserve">LTIMindtree</t>
  </si>
  <si>
    <t xml:space="preserve">TATACONSUM</t>
  </si>
  <si>
    <t xml:space="preserve">Tata Consumer Products</t>
  </si>
  <si>
    <t xml:space="preserve">HINDALCO</t>
  </si>
  <si>
    <t xml:space="preserve">Hindalco Industries</t>
  </si>
  <si>
    <t xml:space="preserve">BAJAJ-AUTO</t>
  </si>
  <si>
    <t xml:space="preserve">Bajaj Auto</t>
  </si>
  <si>
    <t xml:space="preserve">IRCTC</t>
  </si>
  <si>
    <t xml:space="preserve">Indian Railway Catering &amp; Tourism Corp</t>
  </si>
  <si>
    <t xml:space="preserve">Travel / PSU</t>
  </si>
  <si>
    <t xml:space="preserve">Mid Cap</t>
  </si>
  <si>
    <t xml:space="preserve">Nifty Midcap 150</t>
  </si>
  <si>
    <t xml:space="preserve">High</t>
  </si>
  <si>
    <t xml:space="preserve">ZOMATO</t>
  </si>
  <si>
    <t xml:space="preserve">Eternal (Zomato)</t>
  </si>
  <si>
    <t xml:space="preserve">New-Age Tech / Food-delivery</t>
  </si>
  <si>
    <t xml:space="preserve">NYKAA</t>
  </si>
  <si>
    <t xml:space="preserve">FSN E-Commerce Ventures (Nykaa)</t>
  </si>
  <si>
    <t xml:space="preserve">New-Age Tech / E-commerce</t>
  </si>
  <si>
    <t xml:space="preserve">POLICYBZR</t>
  </si>
  <si>
    <t xml:space="preserve">PB Fintech (Policybazaar)</t>
  </si>
  <si>
    <t xml:space="preserve">New-Age Tech / Insurtech</t>
  </si>
  <si>
    <t xml:space="preserve">SUZLON</t>
  </si>
  <si>
    <t xml:space="preserve">Suzlon Energy</t>
  </si>
  <si>
    <t xml:space="preserve">Renewable Energy</t>
  </si>
  <si>
    <t xml:space="preserve">RVNL</t>
  </si>
  <si>
    <t xml:space="preserve">Rail Vikas Nigam</t>
  </si>
  <si>
    <t xml:space="preserve">Infra (PSU)</t>
  </si>
  <si>
    <t xml:space="preserve">IRFC</t>
  </si>
  <si>
    <t xml:space="preserve">Indian Railway Finance Corp</t>
  </si>
  <si>
    <t xml:space="preserve">PSU Financial</t>
  </si>
  <si>
    <t xml:space="preserve">MAZDOCK</t>
  </si>
  <si>
    <t xml:space="preserve">Mazagon Dock Shipbuilders</t>
  </si>
  <si>
    <t xml:space="preserve">Defence (PSU)</t>
  </si>
  <si>
    <t xml:space="preserve">HAL</t>
  </si>
  <si>
    <t xml:space="preserve">Hindustan Aeronautics</t>
  </si>
  <si>
    <t xml:space="preserve">BEL</t>
  </si>
  <si>
    <t xml:space="preserve">Bharat Electronics</t>
  </si>
  <si>
    <t xml:space="preserve">IREDA</t>
  </si>
  <si>
    <t xml:space="preserve">Indian Renewable Energy Dev Agency</t>
  </si>
  <si>
    <t xml:space="preserve">PSU / Renewable Financing</t>
  </si>
  <si>
    <t xml:space="preserve">JIOFIN</t>
  </si>
  <si>
    <t xml:space="preserve">Jio Financial Services</t>
  </si>
  <si>
    <t xml:space="preserve">DELHIVERY</t>
  </si>
  <si>
    <t xml:space="preserve">Delhivery</t>
  </si>
  <si>
    <t xml:space="preserve">Logistics / New-Age Tech</t>
  </si>
  <si>
    <t xml:space="preserve">PVRINOX</t>
  </si>
  <si>
    <t xml:space="preserve">PVR INOX</t>
  </si>
  <si>
    <t xml:space="preserve">Media &amp; Entertainment</t>
  </si>
  <si>
    <t xml:space="preserve">IEX</t>
  </si>
  <si>
    <t xml:space="preserve">Indian Energy Exchange</t>
  </si>
  <si>
    <t xml:space="preserve">Power Trading Platform</t>
  </si>
  <si>
    <t xml:space="preserve">CDSL</t>
  </si>
  <si>
    <t xml:space="preserve">Central Depository Services</t>
  </si>
  <si>
    <t xml:space="preserve">Capital Markets Infra</t>
  </si>
  <si>
    <t xml:space="preserve">KPITTECH</t>
  </si>
  <si>
    <t xml:space="preserve">KPIT Technologies</t>
  </si>
  <si>
    <t xml:space="preserve">IT / Auto-Tech</t>
  </si>
  <si>
    <t xml:space="preserve">PERSISTENT</t>
  </si>
  <si>
    <t xml:space="preserve">Persistent Systems</t>
  </si>
  <si>
    <t xml:space="preserve">MAPMYINDIA</t>
  </si>
  <si>
    <t xml:space="preserve">C.E. Info Systems (MapmyIndia)</t>
  </si>
  <si>
    <t xml:space="preserve">New-Age Tech / GIS</t>
  </si>
  <si>
    <t xml:space="preserve">METROPOLIS</t>
  </si>
  <si>
    <t xml:space="preserve">Metropolis Healthcare</t>
  </si>
  <si>
    <t xml:space="preserve">Healthcare Diagnostics</t>
  </si>
  <si>
    <t xml:space="preserve">IDEA</t>
  </si>
  <si>
    <t xml:space="preserve">Vodafone Idea</t>
  </si>
  <si>
    <t xml:space="preserve">Telecom (turnaround)</t>
  </si>
  <si>
    <t xml:space="preserve">Small Cap</t>
  </si>
  <si>
    <t xml:space="preserve">Nifty Smallcap 250 / Non-Index</t>
  </si>
  <si>
    <t xml:space="preserve">Very High</t>
  </si>
  <si>
    <t xml:space="preserve">YESBANK</t>
  </si>
  <si>
    <t xml:space="preserve">Yes Bank</t>
  </si>
  <si>
    <t xml:space="preserve">Banking (turnaround)</t>
  </si>
  <si>
    <t xml:space="preserve">RPOWER</t>
  </si>
  <si>
    <t xml:space="preserve">Reliance Power</t>
  </si>
  <si>
    <t xml:space="preserve">Power (high volatility)</t>
  </si>
  <si>
    <t xml:space="preserve">JPPOWER</t>
  </si>
  <si>
    <t xml:space="preserve">Jaiprakash Power Ventures</t>
  </si>
  <si>
    <t xml:space="preserve">GTLINFRA</t>
  </si>
  <si>
    <t xml:space="preserve">GTL Infrastructure</t>
  </si>
  <si>
    <t xml:space="preserve">Telecom Infra (penny stock)</t>
  </si>
  <si>
    <t xml:space="preserve">RTNPOWER</t>
  </si>
  <si>
    <t xml:space="preserve">RattanIndia Power</t>
  </si>
  <si>
    <t xml:space="preserve">Power (penny stock)</t>
  </si>
  <si>
    <t xml:space="preserve">SOUTHBANK</t>
  </si>
  <si>
    <t xml:space="preserve">South Indian Bank</t>
  </si>
  <si>
    <t xml:space="preserve">Banking (small cap)</t>
  </si>
  <si>
    <t xml:space="preserve">TRIDENT</t>
  </si>
  <si>
    <t xml:space="preserve">Trident Ltd</t>
  </si>
  <si>
    <t xml:space="preserve">Textiles (small cap)</t>
  </si>
  <si>
    <t xml:space="preserve">SAREGAMA</t>
  </si>
  <si>
    <t xml:space="preserve">Saregama India</t>
  </si>
  <si>
    <t xml:space="preserve">Media (small cap, volatile)</t>
  </si>
  <si>
    <t xml:space="preserve">ORCHPHARMA</t>
  </si>
  <si>
    <t xml:space="preserve">Orchid Pharma</t>
  </si>
  <si>
    <t xml:space="preserve">Pharma (turnaround)</t>
  </si>
  <si>
    <t xml:space="preserve">GENSOL</t>
  </si>
  <si>
    <t xml:space="preserve">Gensol Engineering</t>
  </si>
  <si>
    <t xml:space="preserve">Renewable / EV (speculative)</t>
  </si>
  <si>
    <t xml:space="preserve">SUZLON2X</t>
  </si>
  <si>
    <t xml:space="preserve">Suzlon Energy - F&amp;O Momentum Basket</t>
  </si>
  <si>
    <t xml:space="preserve">Renewable Energy (derivative-heavy)</t>
  </si>
  <si>
    <t xml:space="preserve">PAYTM</t>
  </si>
  <si>
    <t xml:space="preserve">One97 Communications (Paytm)</t>
  </si>
  <si>
    <t xml:space="preserve">New-Age Tech / Fintech</t>
  </si>
  <si>
    <t xml:space="preserve">BORORENEW</t>
  </si>
  <si>
    <t xml:space="preserve">Borosil Renewables</t>
  </si>
  <si>
    <t xml:space="preserve">Renewable / Solar Glass</t>
  </si>
  <si>
    <t xml:space="preserve">SADBHAV</t>
  </si>
  <si>
    <t xml:space="preserve">Sadbhav Engineering</t>
  </si>
  <si>
    <t xml:space="preserve">Infra (small cap, leveraged)</t>
  </si>
  <si>
    <t xml:space="preserve">Note: All figures above are synthetically generated for prototyping — not live market data. Company/sector/index-membership are illustrative real-world references.</t>
  </si>
  <si>
    <t xml:space="preserve">Asset / Index</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</si>
  <si>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</si>
  <si>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</si>
  <si>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</si>
  <si>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</si>
  <si>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</si>
  <si>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</si>
  <si>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</si>
  <si>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</si>
  <si>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</si>
  <si>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</si>
  <si>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10Y Avg Return (%)</t>
  </si>
  <si>
    <t xml:space="preserve">10Y Volatility (%)</t>
  </si>
  <si>
    <t xml:space="preserve">S&amp;P BSE Sensex</t>
  </si>
  <si>
    <t xml:space="preserve">Nifty Next 50</t>
  </si>
  <si>
    <t xml:space="preserve">Nifty Smallcap 250</t>
  </si>
  <si>
    <t xml:space="preserve">Nifty Bank</t>
  </si>
  <si>
    <t xml:space="preserve">Nifty IT</t>
  </si>
  <si>
    <t xml:space="preserve">Gold (INR)</t>
  </si>
  <si>
    <t xml:space="preserve">Bank Fixed Deposit (avg)</t>
  </si>
  <si>
    <t xml:space="preserve">10Y Govt. Securities (G-Sec)</t>
  </si>
  <si>
    <t xml:space="preserve">Note: Yearly figures are synthetically generated (randomised around a realistic mean/volatility per asset class) to illustrate 'past trend' inputs for plan generation — not actual historical index returns.</t>
  </si>
  <si>
    <t xml:space="preserve">Investor Profile</t>
  </si>
  <si>
    <t xml:space="preserve">Expected Annual Return Range (%)</t>
  </si>
  <si>
    <t xml:space="preserve">Expected Volatility Range (%)</t>
  </si>
  <si>
    <t xml:space="preserve">Suggested Equity Allocation (%)</t>
  </si>
  <si>
    <t xml:space="preserve">Suggested Debt/Gold Allocation (%)</t>
  </si>
  <si>
    <t xml:space="preserve">Typical Instruments</t>
  </si>
  <si>
    <t xml:space="preserve">Description</t>
  </si>
  <si>
    <t xml:space="preserve">Conservative</t>
  </si>
  <si>
    <t xml:space="preserve">6 - 10</t>
  </si>
  <si>
    <t xml:space="preserve">10 - 15</t>
  </si>
  <si>
    <t xml:space="preserve">20 - 35</t>
  </si>
  <si>
    <t xml:space="preserve">65 - 80</t>
  </si>
  <si>
    <t xml:space="preserve">Nifty 50 large-caps, Debt funds, FDs, G-Secs</t>
  </si>
  <si>
    <t xml:space="preserve">Capital preservation first; small equity sleeve for inflation-beating growth.</t>
  </si>
  <si>
    <t xml:space="preserve">Moderate / Balanced</t>
  </si>
  <si>
    <t xml:space="preserve">10 - 16</t>
  </si>
  <si>
    <t xml:space="preserve">16 - 24</t>
  </si>
  <si>
    <t xml:space="preserve">45 - 60</t>
  </si>
  <si>
    <t xml:space="preserve">40 - 55</t>
  </si>
  <si>
    <t xml:space="preserve">Nifty 50 + select Nifty Next 50 / Midcap, Hybrid funds, Gold</t>
  </si>
  <si>
    <t xml:space="preserve">Balanced growth with manageable drawdowns; core-satellite equity approach.</t>
  </si>
  <si>
    <t xml:space="preserve">Growth-Oriented</t>
  </si>
  <si>
    <t xml:space="preserve">14 - 22</t>
  </si>
  <si>
    <t xml:space="preserve">24 - 34</t>
  </si>
  <si>
    <t xml:space="preserve">Midcap &amp; select Smallcap stocks, Sectoral/Thematic funds</t>
  </si>
  <si>
    <t xml:space="preserve">Higher equity tilt for long time-horizon investors comfortable with volatility.</t>
  </si>
  <si>
    <t xml:space="preserve">Aggressive / Speculative</t>
  </si>
  <si>
    <t xml:space="preserve">15 - 30+ (wide range, can be negative)</t>
  </si>
  <si>
    <t xml:space="preserve">35 - 60+</t>
  </si>
  <si>
    <t xml:space="preserve">80 - 95</t>
  </si>
  <si>
    <t xml:space="preserve">5 - 20</t>
  </si>
  <si>
    <t xml:space="preserve">Smallcap, turnaround/penny stocks, New-age tech, Thematic bets</t>
  </si>
  <si>
    <t xml:space="preserve">Maximum growth potential with high probability of sharp drawdowns; suited only for a small satellite allocation even for aggressive investors.</t>
  </si>
  <si>
    <t xml:space="preserve">Assumed Category Return / Volatility (editable inputs — used by formulas below)</t>
  </si>
  <si>
    <t xml:space="preserve">Asset Category</t>
  </si>
  <si>
    <t xml:space="preserve">Assumed Annual Return (%)</t>
  </si>
  <si>
    <t xml:space="preserve">Assumed Volatility (%)</t>
  </si>
  <si>
    <t xml:space="preserve">Large Cap Equity (Nifty 50)</t>
  </si>
  <si>
    <t xml:space="preserve">Mid Cap Equity</t>
  </si>
  <si>
    <t xml:space="preserve">Small Cap / High-Risk Equity</t>
  </si>
  <si>
    <t xml:space="preserve">Debt / Fixed Income</t>
  </si>
  <si>
    <t xml:space="preserve">Gold / Alternatives</t>
  </si>
  <si>
    <t xml:space="preserve">Model Financial Plans (auto-computed from allocations above)</t>
  </si>
  <si>
    <t xml:space="preserve">Plan Name</t>
  </si>
  <si>
    <t xml:space="preserve">Target Investor Profile</t>
  </si>
  <si>
    <t xml:space="preserve">Large Cap Equity (%)</t>
  </si>
  <si>
    <t xml:space="preserve">Mid Cap Equity (%)</t>
  </si>
  <si>
    <t xml:space="preserve">Small/High-Risk Equity (%)</t>
  </si>
  <si>
    <t xml:space="preserve">Debt (%)</t>
  </si>
  <si>
    <t xml:space="preserve">Gold (%)</t>
  </si>
  <si>
    <t xml:space="preserve">Total (%)</t>
  </si>
  <si>
    <t xml:space="preserve">Expected Portfolio Return (%)</t>
  </si>
  <si>
    <t xml:space="preserve">Approx. Portfolio Volatility (%)</t>
  </si>
  <si>
    <t xml:space="preserve">Plan A — Capital Shield</t>
  </si>
  <si>
    <t xml:space="preserve">Conservative (Low Risk)</t>
  </si>
  <si>
    <t xml:space="preserve">Plan B — Steady Growth</t>
  </si>
  <si>
    <t xml:space="preserve">Plan C — Wealth Builder</t>
  </si>
  <si>
    <t xml:space="preserve">Growth-Oriented (High Risk)</t>
  </si>
  <si>
    <t xml:space="preserve">Plan D — Max Momentum</t>
  </si>
  <si>
    <t xml:space="preserve">Aggressive (Very High Risk)</t>
  </si>
  <si>
    <t xml:space="preserve">Note: 'Approx. Portfolio Volatility' is a simplified weighted-average (ignores cross-asset correlation) for demo purposes — a production model should use a full covariance-based portfolio-risk calculation.</t>
  </si>
  <si>
    <t xml:space="preserve">Customer ID</t>
  </si>
  <si>
    <t xml:space="preserve">Name</t>
  </si>
  <si>
    <t xml:space="preserve">Age</t>
  </si>
  <si>
    <t xml:space="preserve">Net Worth (INR)</t>
  </si>
  <si>
    <t xml:space="preserve">Risk Appetite</t>
  </si>
  <si>
    <t xml:space="preserve">Primary Financial Goal</t>
  </si>
  <si>
    <t xml:space="preserve">Time Horizon (yrs)</t>
  </si>
  <si>
    <t xml:space="preserve">Monthly Investment Capacity (INR)</t>
  </si>
  <si>
    <t xml:space="preserve">Recommended Plan</t>
  </si>
  <si>
    <t xml:space="preserve">Recommended Plan Expected Return (%)</t>
  </si>
  <si>
    <t xml:space="preserve">Alternate Plan (Option 2)</t>
  </si>
  <si>
    <t xml:space="preserve">CUST001</t>
  </si>
  <si>
    <t xml:space="preserve">Ramesh Iyer</t>
  </si>
  <si>
    <t xml:space="preserve">Retirement Income</t>
  </si>
  <si>
    <t xml:space="preserve">CUST002</t>
  </si>
  <si>
    <t xml:space="preserve">Anita Sharma</t>
  </si>
  <si>
    <t xml:space="preserve">Child's Education (2038)</t>
  </si>
  <si>
    <t xml:space="preserve">CUST003</t>
  </si>
  <si>
    <t xml:space="preserve">Vikram Rao</t>
  </si>
  <si>
    <t xml:space="preserve">Wealth Creation / Early FIRE</t>
  </si>
  <si>
    <t xml:space="preserve">CUST004</t>
  </si>
  <si>
    <t xml:space="preserve">Sneha Kapoor</t>
  </si>
  <si>
    <t xml:space="preserve">Aggressive Wealth Growth</t>
  </si>
  <si>
    <t xml:space="preserve">CUST005</t>
  </si>
  <si>
    <t xml:space="preserve">Deepak Menon</t>
  </si>
  <si>
    <t xml:space="preserve">Home Down-payment (2029)</t>
  </si>
  <si>
    <t xml:space="preserve">Note: These 5 customers are illustrative examples of how a built customer profile (net worth + risk appetite + goal/horizon) maps to a recommended model plan, plus one alternate — mirroring the 'couple of plans to choose from' requirement. A GenAI layer would replace this static mapping with a dynamically generated, personalised rationale per customer.</t>
  </si>
</sst>
</file>

<file path=xl/styles.xml><?xml version="1.0" encoding="utf-8"?>
<styleSheet xmlns="http://schemas.openxmlformats.org/spreadsheetml/2006/main">
  <numFmts count="8">
    <numFmt numFmtId="164" formatCode="General"/>
    <numFmt numFmtId="165" formatCode="\₹#,##0.00"/>
    <numFmt numFmtId="166" formatCode="0.0\x"/>
    <numFmt numFmtId="167" formatCode="0.00\%"/>
    <numFmt numFmtId="168" formatCode="0.0\%"/>
    <numFmt numFmtId="169" formatCode="General"/>
    <numFmt numFmtId="170" formatCode="0\%"/>
    <numFmt numFmtId="171" formatCode="\₹#,##0"/>
  </numFmts>
  <fonts count="11">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666666"/>
      <name val="Arial"/>
      <family val="0"/>
      <charset val="1"/>
    </font>
    <font>
      <b val="true"/>
      <sz val="12"/>
      <color rgb="FF1F4E78"/>
      <name val="Arial"/>
      <family val="0"/>
      <charset val="1"/>
    </font>
    <font>
      <sz val="10"/>
      <name val="Arial"/>
      <family val="0"/>
      <charset val="1"/>
    </font>
    <font>
      <i val="true"/>
      <sz val="9"/>
      <color rgb="FF808080"/>
      <name val="Arial"/>
      <family val="0"/>
      <charset val="1"/>
    </font>
    <font>
      <b val="true"/>
      <sz val="10"/>
      <color rgb="FFFFFFFF"/>
      <name val="Arial"/>
      <family val="0"/>
      <charset val="1"/>
    </font>
    <font>
      <b val="true"/>
      <sz val="10"/>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FFE699"/>
        <bgColor rgb="FFF8CBAD"/>
      </patternFill>
    </fill>
    <fill>
      <patternFill patternType="solid">
        <fgColor rgb="FFC6E0B4"/>
        <bgColor rgb="FFD9D9D9"/>
      </patternFill>
    </fill>
    <fill>
      <patternFill patternType="solid">
        <fgColor rgb="FFF8CBAD"/>
        <bgColor rgb="FFFFE699"/>
      </patternFill>
    </fill>
    <fill>
      <patternFill patternType="solid">
        <fgColor rgb="FFFF9999"/>
        <bgColor rgb="FFFF808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8" fontId="10" fillId="0" borderId="1" xfId="0" applyFont="true" applyBorder="true" applyAlignment="true" applyProtection="false">
      <alignment horizontal="left" vertical="center" textRotation="0" wrapText="false" indent="0" shrinkToFit="false"/>
      <protection locked="true" hidden="false"/>
    </xf>
    <xf numFmtId="168" fontId="10" fillId="0" borderId="1" xfId="0" applyFont="true" applyBorder="true" applyAlignment="true" applyProtection="false">
      <alignment horizontal="center" vertical="center" textRotation="0" wrapText="false" indent="0" shrinkToFit="false"/>
      <protection locked="true" hidden="false"/>
    </xf>
    <xf numFmtId="168" fontId="10" fillId="0" borderId="1" xfId="0" applyFont="true" applyBorder="true" applyAlignment="true" applyProtection="false">
      <alignment horizontal="center" vertical="bottom" textRotation="0" wrapText="false" indent="0" shrinkToFit="false"/>
      <protection locked="true" hidden="false"/>
    </xf>
    <xf numFmtId="168" fontId="7" fillId="0"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center" vertical="center" textRotation="0" wrapText="false" indent="0" shrinkToFit="false"/>
      <protection locked="true" hidden="false"/>
    </xf>
    <xf numFmtId="167" fontId="10" fillId="0" borderId="1" xfId="0" applyFont="true" applyBorder="true" applyAlignment="true" applyProtection="false">
      <alignment horizontal="center" vertical="bottom" textRotation="0" wrapText="false" indent="0" shrinkToFit="false"/>
      <protection locked="true" hidden="false"/>
    </xf>
    <xf numFmtId="171" fontId="7"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9999"/>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99"/>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CustomerExamples" displayName="CustomerExamples" ref="A1:K6" headerRowCount="1" totalsRowCount="0" totalsRowShown="0">
  <autoFilter ref="A1:K6"/>
  <tableColumns count="11">
    <tableColumn id="1" name="Customer ID"/>
    <tableColumn id="2" name="Name"/>
    <tableColumn id="3" name="Age"/>
    <tableColumn id="4" name="Net Worth (INR)"/>
    <tableColumn id="5" name="Risk Appetite"/>
    <tableColumn id="6" name="Primary Financial Goal"/>
    <tableColumn id="7" name="Time Horizon (yrs)"/>
    <tableColumn id="8" name="Monthly Investment Capacity (INR)"/>
    <tableColumn id="9" name="Recommended Plan"/>
    <tableColumn id="10" name="Recommended Plan Expected Return (%)"/>
    <tableColumn id="11" name="Alternate Plan (Option 2)"/>
  </tableColumns>
</table>
</file>

<file path=xl/tables/table2.xml><?xml version="1.0" encoding="utf-8"?>
<table xmlns="http://schemas.openxmlformats.org/spreadsheetml/2006/main" id="2" name="IndexTrends" displayName="IndexTrends" ref="A1:M11" headerRowCount="1" totalsRowCount="0" totalsRowShown="0">
  <autoFilter ref="A1:M11"/>
  <tableColumns count="13">
    <tableColumn id="1" name="Asset / Index"/>
    <tableColumn id="2" name="2016"/>
    <tableColumn id="3" name="2017"/>
    <tableColumn id="4" name="2018"/>
    <tableColumn id="5" name="2019"/>
    <tableColumn id="6" name="2020"/>
    <tableColumn id="7" name="2021"/>
    <tableColumn id="8" name="2022"/>
    <tableColumn id="9" name="2023"/>
    <tableColumn id="10" name="2024"/>
    <tableColumn id="11" name="2025"/>
    <tableColumn id="12" name="10Y Avg Return (%)"/>
    <tableColumn id="13" name="10Y Volatility (%)"/>
  </tableColumns>
</table>
</file>

<file path=xl/tables/table3.xml><?xml version="1.0" encoding="utf-8"?>
<table xmlns="http://schemas.openxmlformats.org/spreadsheetml/2006/main" id="3" name="ModelPlans" displayName="ModelPlans" ref="A11:J15" headerRowCount="1" totalsRowCount="0" totalsRowShown="0">
  <autoFilter ref="A11:J15"/>
  <tableColumns count="10">
    <tableColumn id="1" name="Plan Name"/>
    <tableColumn id="2" name="Target Investor Profile"/>
    <tableColumn id="3" name="Large Cap Equity (%)"/>
    <tableColumn id="4" name="Mid Cap Equity (%)"/>
    <tableColumn id="5" name="Small/High-Risk Equity (%)"/>
    <tableColumn id="6" name="Debt (%)"/>
    <tableColumn id="7" name="Gold (%)"/>
    <tableColumn id="8" name="Total (%)"/>
    <tableColumn id="9" name="Expected Portfolio Return (%)"/>
    <tableColumn id="10" name="Approx. Portfolio Volatility (%)"/>
  </tableColumns>
</table>
</file>

<file path=xl/tables/table4.xml><?xml version="1.0" encoding="utf-8"?>
<table xmlns="http://schemas.openxmlformats.org/spreadsheetml/2006/main" id="4" name="RiskReference" displayName="RiskReference" ref="A1:H5" headerRowCount="1" totalsRowCount="0" totalsRowShown="0">
  <autoFilter ref="A1:H5"/>
  <tableColumns count="8">
    <tableColumn id="1" name="Risk Category"/>
    <tableColumn id="2" name="Investor Profile"/>
    <tableColumn id="3" name="Expected Annual Return Range (%)"/>
    <tableColumn id="4" name="Expected Volatility Range (%)"/>
    <tableColumn id="5" name="Suggested Equity Allocation (%)"/>
    <tableColumn id="6" name="Suggested Debt/Gold Allocation (%)"/>
    <tableColumn id="7" name="Typical Instruments"/>
    <tableColumn id="8" name="Description"/>
  </tableColumns>
</table>
</file>

<file path=xl/tables/table5.xml><?xml version="1.0" encoding="utf-8"?>
<table xmlns="http://schemas.openxmlformats.org/spreadsheetml/2006/main" id="5" name="StockMaster" displayName="StockMaster" ref="A1:O87" headerRowCount="1" totalsRowCount="0" totalsRowShown="0">
  <autoFilter ref="A1:O87"/>
  <tableColumns count="15">
    <tableColumn id="1" name="Symbol"/>
    <tableColumn id="2" name="Company Name"/>
    <tableColumn id="3" name="Sector"/>
    <tableColumn id="4" name="Market Cap Category"/>
    <tableColumn id="5" name="Index Membership"/>
    <tableColumn id="6" name="Risk Category"/>
    <tableColumn id="7" name="Beta"/>
    <tableColumn id="8" name="Current Price (INR)"/>
    <tableColumn id="9" name="P/E Ratio"/>
    <tableColumn id="10" name="Dividend Yield (%)"/>
    <tableColumn id="11" name="1Y Return (%)"/>
    <tableColumn id="12" name="3Y CAGR (%)"/>
    <tableColumn id="13" name="5Y CAGR (%)"/>
    <tableColumn id="14" name="Volatility / Std Dev (%)"/>
    <tableColumn id="15" name="Risk-Adjusted Return (3Y CAGR / Volatilit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9" min="2" style="0" width="14"/>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54.75" hidden="false" customHeight="true" outlineLevel="0" collapsed="false">
      <c r="B6" s="4" t="s">
        <v>3</v>
      </c>
      <c r="C6" s="4"/>
      <c r="D6" s="4"/>
      <c r="E6" s="4"/>
      <c r="F6" s="4"/>
      <c r="G6" s="4"/>
      <c r="H6" s="4"/>
      <c r="I6" s="4"/>
    </row>
    <row r="8" customFormat="false" ht="15" hidden="false" customHeight="false" outlineLevel="0" collapsed="false">
      <c r="B8" s="3" t="s">
        <v>4</v>
      </c>
    </row>
    <row r="9" customFormat="false" ht="54.75" hidden="false" customHeight="true" outlineLevel="0" collapsed="false">
      <c r="B9" s="4" t="s">
        <v>5</v>
      </c>
      <c r="C9" s="4"/>
      <c r="D9" s="4"/>
      <c r="E9" s="4"/>
      <c r="F9" s="4"/>
      <c r="G9" s="4"/>
      <c r="H9" s="4"/>
      <c r="I9" s="4"/>
    </row>
    <row r="11" customFormat="false" ht="15" hidden="false" customHeight="false" outlineLevel="0" collapsed="false">
      <c r="B11" s="3" t="s">
        <v>6</v>
      </c>
    </row>
    <row r="12" customFormat="false" ht="54.75" hidden="false" customHeight="true" outlineLevel="0" collapsed="false">
      <c r="B12" s="4" t="s">
        <v>7</v>
      </c>
      <c r="C12" s="4"/>
      <c r="D12" s="4"/>
      <c r="E12" s="4"/>
      <c r="F12" s="4"/>
      <c r="G12" s="4"/>
      <c r="H12" s="4"/>
      <c r="I12" s="4"/>
    </row>
    <row r="14" customFormat="false" ht="15" hidden="false" customHeight="false" outlineLevel="0" collapsed="false">
      <c r="B14" s="3" t="s">
        <v>8</v>
      </c>
    </row>
    <row r="15" customFormat="false" ht="54.75" hidden="false" customHeight="true" outlineLevel="0" collapsed="false">
      <c r="B15" s="4" t="s">
        <v>9</v>
      </c>
      <c r="C15" s="4"/>
      <c r="D15" s="4"/>
      <c r="E15" s="4"/>
      <c r="F15" s="4"/>
      <c r="G15" s="4"/>
      <c r="H15" s="4"/>
      <c r="I15" s="4"/>
    </row>
    <row r="18" customFormat="false" ht="15" hidden="false" customHeight="false" outlineLevel="0" collapsed="false">
      <c r="B18" s="5" t="s">
        <v>10</v>
      </c>
    </row>
  </sheetData>
  <mergeCells count="4">
    <mergeCell ref="B6:I6"/>
    <mergeCell ref="B9:I9"/>
    <mergeCell ref="B12:I12"/>
    <mergeCell ref="B15:I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24"/>
    <col collapsed="false" customWidth="true" hidden="false" outlineLevel="0" max="4" min="4" style="0" width="15"/>
    <col collapsed="false" customWidth="true" hidden="false" outlineLevel="0" max="5" min="5" style="0" width="22"/>
    <col collapsed="false" customWidth="true" hidden="false" outlineLevel="0" max="6" min="6" style="0" width="12"/>
    <col collapsed="false" customWidth="true" hidden="false" outlineLevel="0" max="7" min="7" style="0" width="8"/>
    <col collapsed="false" customWidth="true" hidden="false" outlineLevel="0" max="8" min="8" style="0" width="15"/>
    <col collapsed="false" customWidth="true" hidden="false" outlineLevel="0" max="9" min="9" style="0" width="10"/>
    <col collapsed="false" customWidth="true" hidden="false" outlineLevel="0" max="10" min="10" style="0" width="13"/>
    <col collapsed="false" customWidth="true" hidden="false" outlineLevel="0" max="13" min="11" style="0" width="12"/>
    <col collapsed="false" customWidth="true" hidden="false" outlineLevel="0" max="14" min="14" style="0" width="16"/>
    <col collapsed="false" customWidth="true" hidden="false" outlineLevel="0" max="15" min="15" style="0" width="20"/>
  </cols>
  <sheetData>
    <row r="1" customFormat="false" ht="27.75" hidden="false" customHeight="true" outlineLevel="0" collapsed="false">
      <c r="A1" s="6" t="s">
        <v>11</v>
      </c>
      <c r="B1" s="6" t="s">
        <v>12</v>
      </c>
      <c r="C1" s="6" t="s">
        <v>13</v>
      </c>
      <c r="D1" s="6" t="s">
        <v>14</v>
      </c>
      <c r="E1" s="6" t="s">
        <v>15</v>
      </c>
      <c r="F1" s="6" t="s">
        <v>16</v>
      </c>
      <c r="G1" s="6" t="s">
        <v>17</v>
      </c>
      <c r="H1" s="6" t="s">
        <v>18</v>
      </c>
      <c r="I1" s="6" t="s">
        <v>19</v>
      </c>
      <c r="J1" s="6" t="s">
        <v>20</v>
      </c>
      <c r="K1" s="6" t="s">
        <v>21</v>
      </c>
      <c r="L1" s="6" t="s">
        <v>22</v>
      </c>
      <c r="M1" s="6" t="s">
        <v>23</v>
      </c>
      <c r="N1" s="6" t="s">
        <v>24</v>
      </c>
      <c r="O1" s="6" t="s">
        <v>25</v>
      </c>
    </row>
    <row r="2" customFormat="false" ht="15" hidden="false" customHeight="false" outlineLevel="0" collapsed="false">
      <c r="A2" s="7" t="s">
        <v>26</v>
      </c>
      <c r="B2" s="7" t="s">
        <v>27</v>
      </c>
      <c r="C2" s="8" t="s">
        <v>28</v>
      </c>
      <c r="D2" s="8" t="s">
        <v>29</v>
      </c>
      <c r="E2" s="8" t="s">
        <v>30</v>
      </c>
      <c r="F2" s="9" t="s">
        <v>31</v>
      </c>
      <c r="G2" s="8" t="n">
        <v>0.89</v>
      </c>
      <c r="H2" s="10" t="n">
        <v>2634.19</v>
      </c>
      <c r="I2" s="11" t="n">
        <v>20.1</v>
      </c>
      <c r="J2" s="12" t="n">
        <v>0.45</v>
      </c>
      <c r="K2" s="13" t="n">
        <v>-3.6</v>
      </c>
      <c r="L2" s="13" t="n">
        <v>18.8</v>
      </c>
      <c r="M2" s="13" t="n">
        <v>13.6</v>
      </c>
      <c r="N2" s="13" t="n">
        <v>23.9</v>
      </c>
      <c r="O2" s="14" t="n">
        <f aca="false">ROUND(L2/N2,2)</f>
        <v>0.79</v>
      </c>
    </row>
    <row r="3" customFormat="false" ht="15" hidden="false" customHeight="false" outlineLevel="0" collapsed="false">
      <c r="A3" s="7" t="s">
        <v>32</v>
      </c>
      <c r="B3" s="7" t="s">
        <v>33</v>
      </c>
      <c r="C3" s="8" t="s">
        <v>34</v>
      </c>
      <c r="D3" s="8" t="s">
        <v>29</v>
      </c>
      <c r="E3" s="8" t="s">
        <v>30</v>
      </c>
      <c r="F3" s="15" t="s">
        <v>35</v>
      </c>
      <c r="G3" s="8" t="n">
        <v>0.56</v>
      </c>
      <c r="H3" s="10" t="n">
        <v>1108.96</v>
      </c>
      <c r="I3" s="11" t="n">
        <v>25.1</v>
      </c>
      <c r="J3" s="12" t="n">
        <v>0.87</v>
      </c>
      <c r="K3" s="13" t="n">
        <v>6</v>
      </c>
      <c r="L3" s="13" t="n">
        <v>13.8</v>
      </c>
      <c r="M3" s="13" t="n">
        <v>12.4</v>
      </c>
      <c r="N3" s="13" t="n">
        <v>13.8</v>
      </c>
      <c r="O3" s="14" t="n">
        <f aca="false">ROUND(L3/N3,2)</f>
        <v>1</v>
      </c>
    </row>
    <row r="4" customFormat="false" ht="15" hidden="false" customHeight="false" outlineLevel="0" collapsed="false">
      <c r="A4" s="7" t="s">
        <v>36</v>
      </c>
      <c r="B4" s="7" t="s">
        <v>37</v>
      </c>
      <c r="C4" s="8" t="s">
        <v>38</v>
      </c>
      <c r="D4" s="8" t="s">
        <v>29</v>
      </c>
      <c r="E4" s="8" t="s">
        <v>30</v>
      </c>
      <c r="F4" s="9" t="s">
        <v>31</v>
      </c>
      <c r="G4" s="8" t="n">
        <v>0.96</v>
      </c>
      <c r="H4" s="10" t="n">
        <v>3062.16</v>
      </c>
      <c r="I4" s="11" t="n">
        <v>37</v>
      </c>
      <c r="J4" s="12" t="n">
        <v>0.49</v>
      </c>
      <c r="K4" s="13" t="n">
        <v>10.2</v>
      </c>
      <c r="L4" s="13" t="n">
        <v>9.6</v>
      </c>
      <c r="M4" s="13" t="n">
        <v>9</v>
      </c>
      <c r="N4" s="13" t="n">
        <v>25.6</v>
      </c>
      <c r="O4" s="14" t="n">
        <f aca="false">ROUND(L4/N4,2)</f>
        <v>0.38</v>
      </c>
    </row>
    <row r="5" customFormat="false" ht="15" hidden="false" customHeight="false" outlineLevel="0" collapsed="false">
      <c r="A5" s="7" t="s">
        <v>39</v>
      </c>
      <c r="B5" s="7" t="s">
        <v>40</v>
      </c>
      <c r="C5" s="8" t="s">
        <v>38</v>
      </c>
      <c r="D5" s="8" t="s">
        <v>29</v>
      </c>
      <c r="E5" s="8" t="s">
        <v>30</v>
      </c>
      <c r="F5" s="15" t="s">
        <v>35</v>
      </c>
      <c r="G5" s="8" t="n">
        <v>0.59</v>
      </c>
      <c r="H5" s="10" t="n">
        <v>657.85</v>
      </c>
      <c r="I5" s="11" t="n">
        <v>31.9</v>
      </c>
      <c r="J5" s="12" t="n">
        <v>2.43</v>
      </c>
      <c r="K5" s="13" t="n">
        <v>18.1</v>
      </c>
      <c r="L5" s="13" t="n">
        <v>14.8</v>
      </c>
      <c r="M5" s="13" t="n">
        <v>12.3</v>
      </c>
      <c r="N5" s="13" t="n">
        <v>19.8</v>
      </c>
      <c r="O5" s="14" t="n">
        <f aca="false">ROUND(L5/N5,2)</f>
        <v>0.75</v>
      </c>
    </row>
    <row r="6" customFormat="false" ht="15" hidden="false" customHeight="false" outlineLevel="0" collapsed="false">
      <c r="A6" s="7" t="s">
        <v>41</v>
      </c>
      <c r="B6" s="7" t="s">
        <v>42</v>
      </c>
      <c r="C6" s="8" t="s">
        <v>34</v>
      </c>
      <c r="D6" s="8" t="s">
        <v>29</v>
      </c>
      <c r="E6" s="8" t="s">
        <v>30</v>
      </c>
      <c r="F6" s="15" t="s">
        <v>35</v>
      </c>
      <c r="G6" s="8" t="n">
        <v>0.58</v>
      </c>
      <c r="H6" s="10" t="n">
        <v>1384.76</v>
      </c>
      <c r="I6" s="11" t="n">
        <v>27.6</v>
      </c>
      <c r="J6" s="12" t="n">
        <v>3.19</v>
      </c>
      <c r="K6" s="13" t="n">
        <v>9.2</v>
      </c>
      <c r="L6" s="13" t="n">
        <v>8.3</v>
      </c>
      <c r="M6" s="13" t="n">
        <v>8.6</v>
      </c>
      <c r="N6" s="13" t="n">
        <v>17.3</v>
      </c>
      <c r="O6" s="14" t="n">
        <f aca="false">ROUND(L6/N6,2)</f>
        <v>0.48</v>
      </c>
    </row>
    <row r="7" customFormat="false" ht="15" hidden="false" customHeight="false" outlineLevel="0" collapsed="false">
      <c r="A7" s="7" t="s">
        <v>43</v>
      </c>
      <c r="B7" s="7" t="s">
        <v>44</v>
      </c>
      <c r="C7" s="8" t="s">
        <v>45</v>
      </c>
      <c r="D7" s="8" t="s">
        <v>29</v>
      </c>
      <c r="E7" s="8" t="s">
        <v>30</v>
      </c>
      <c r="F7" s="15" t="s">
        <v>35</v>
      </c>
      <c r="G7" s="8" t="n">
        <v>0.94</v>
      </c>
      <c r="H7" s="10" t="n">
        <v>3464.68</v>
      </c>
      <c r="I7" s="11" t="n">
        <v>32.3</v>
      </c>
      <c r="J7" s="12" t="n">
        <v>1.83</v>
      </c>
      <c r="K7" s="13" t="n">
        <v>11.1</v>
      </c>
      <c r="L7" s="13" t="n">
        <v>16</v>
      </c>
      <c r="M7" s="13" t="n">
        <v>9.3</v>
      </c>
      <c r="N7" s="13" t="n">
        <v>14.8</v>
      </c>
      <c r="O7" s="14" t="n">
        <f aca="false">ROUND(L7/N7,2)</f>
        <v>1.08</v>
      </c>
    </row>
    <row r="8" customFormat="false" ht="15" hidden="false" customHeight="false" outlineLevel="0" collapsed="false">
      <c r="A8" s="7" t="s">
        <v>46</v>
      </c>
      <c r="B8" s="7" t="s">
        <v>47</v>
      </c>
      <c r="C8" s="8" t="s">
        <v>45</v>
      </c>
      <c r="D8" s="8" t="s">
        <v>29</v>
      </c>
      <c r="E8" s="8" t="s">
        <v>30</v>
      </c>
      <c r="F8" s="9" t="s">
        <v>31</v>
      </c>
      <c r="G8" s="8" t="n">
        <v>0.96</v>
      </c>
      <c r="H8" s="10" t="n">
        <v>3287.79</v>
      </c>
      <c r="I8" s="11" t="n">
        <v>33.4</v>
      </c>
      <c r="J8" s="12" t="n">
        <v>1.3</v>
      </c>
      <c r="K8" s="13" t="n">
        <v>-0.6</v>
      </c>
      <c r="L8" s="13" t="n">
        <v>18.6</v>
      </c>
      <c r="M8" s="13" t="n">
        <v>8.3</v>
      </c>
      <c r="N8" s="13" t="n">
        <v>21.8</v>
      </c>
      <c r="O8" s="14" t="n">
        <f aca="false">ROUND(L8/N8,2)</f>
        <v>0.85</v>
      </c>
    </row>
    <row r="9" customFormat="false" ht="15" hidden="false" customHeight="false" outlineLevel="0" collapsed="false">
      <c r="A9" s="7" t="s">
        <v>48</v>
      </c>
      <c r="B9" s="7" t="s">
        <v>49</v>
      </c>
      <c r="C9" s="8" t="s">
        <v>50</v>
      </c>
      <c r="D9" s="8" t="s">
        <v>29</v>
      </c>
      <c r="E9" s="8" t="s">
        <v>30</v>
      </c>
      <c r="F9" s="9" t="s">
        <v>31</v>
      </c>
      <c r="G9" s="8" t="n">
        <v>1.13</v>
      </c>
      <c r="H9" s="10" t="n">
        <v>885.71</v>
      </c>
      <c r="I9" s="11" t="n">
        <v>22.7</v>
      </c>
      <c r="J9" s="12" t="n">
        <v>1.58</v>
      </c>
      <c r="K9" s="13" t="n">
        <v>-5.6</v>
      </c>
      <c r="L9" s="13" t="n">
        <v>20.4</v>
      </c>
      <c r="M9" s="13" t="n">
        <v>17.3</v>
      </c>
      <c r="N9" s="13" t="n">
        <v>22</v>
      </c>
      <c r="O9" s="14" t="n">
        <f aca="false">ROUND(L9/N9,2)</f>
        <v>0.93</v>
      </c>
    </row>
    <row r="10" customFormat="false" ht="15" hidden="false" customHeight="false" outlineLevel="0" collapsed="false">
      <c r="A10" s="7" t="s">
        <v>51</v>
      </c>
      <c r="B10" s="7" t="s">
        <v>52</v>
      </c>
      <c r="C10" s="8" t="s">
        <v>53</v>
      </c>
      <c r="D10" s="8" t="s">
        <v>29</v>
      </c>
      <c r="E10" s="8" t="s">
        <v>30</v>
      </c>
      <c r="F10" s="15" t="s">
        <v>35</v>
      </c>
      <c r="G10" s="8" t="n">
        <v>0.63</v>
      </c>
      <c r="H10" s="10" t="n">
        <v>3788.77</v>
      </c>
      <c r="I10" s="11" t="n">
        <v>32.5</v>
      </c>
      <c r="J10" s="12" t="n">
        <v>1.65</v>
      </c>
      <c r="K10" s="13" t="n">
        <v>15.1</v>
      </c>
      <c r="L10" s="13" t="n">
        <v>10.7</v>
      </c>
      <c r="M10" s="13" t="n">
        <v>15.3</v>
      </c>
      <c r="N10" s="13" t="n">
        <v>15.7</v>
      </c>
      <c r="O10" s="14" t="n">
        <f aca="false">ROUND(L10/N10,2)</f>
        <v>0.68</v>
      </c>
    </row>
    <row r="11" customFormat="false" ht="15" hidden="false" customHeight="false" outlineLevel="0" collapsed="false">
      <c r="A11" s="7" t="s">
        <v>54</v>
      </c>
      <c r="B11" s="7" t="s">
        <v>55</v>
      </c>
      <c r="C11" s="8" t="s">
        <v>38</v>
      </c>
      <c r="D11" s="8" t="s">
        <v>29</v>
      </c>
      <c r="E11" s="8" t="s">
        <v>30</v>
      </c>
      <c r="F11" s="15" t="s">
        <v>35</v>
      </c>
      <c r="G11" s="8" t="n">
        <v>0.61</v>
      </c>
      <c r="H11" s="10" t="n">
        <v>3056.46</v>
      </c>
      <c r="I11" s="11" t="n">
        <v>25.8</v>
      </c>
      <c r="J11" s="12" t="n">
        <v>2.82</v>
      </c>
      <c r="K11" s="13" t="n">
        <v>10.6</v>
      </c>
      <c r="L11" s="13" t="n">
        <v>13</v>
      </c>
      <c r="M11" s="13" t="n">
        <v>10.9</v>
      </c>
      <c r="N11" s="13" t="n">
        <v>20</v>
      </c>
      <c r="O11" s="14" t="n">
        <f aca="false">ROUND(L11/N11,2)</f>
        <v>0.65</v>
      </c>
    </row>
    <row r="12" customFormat="false" ht="15" hidden="false" customHeight="false" outlineLevel="0" collapsed="false">
      <c r="A12" s="7" t="s">
        <v>56</v>
      </c>
      <c r="B12" s="7" t="s">
        <v>57</v>
      </c>
      <c r="C12" s="8" t="s">
        <v>58</v>
      </c>
      <c r="D12" s="8" t="s">
        <v>29</v>
      </c>
      <c r="E12" s="8" t="s">
        <v>30</v>
      </c>
      <c r="F12" s="15" t="s">
        <v>35</v>
      </c>
      <c r="G12" s="8" t="n">
        <v>0.75</v>
      </c>
      <c r="H12" s="10" t="n">
        <v>636.36</v>
      </c>
      <c r="I12" s="11" t="n">
        <v>15.9</v>
      </c>
      <c r="J12" s="12" t="n">
        <v>1.1</v>
      </c>
      <c r="K12" s="13" t="n">
        <v>14.5</v>
      </c>
      <c r="L12" s="13" t="n">
        <v>15.5</v>
      </c>
      <c r="M12" s="13" t="n">
        <v>11.4</v>
      </c>
      <c r="N12" s="13" t="n">
        <v>12.5</v>
      </c>
      <c r="O12" s="14" t="n">
        <f aca="false">ROUND(L12/N12,2)</f>
        <v>1.24</v>
      </c>
    </row>
    <row r="13" customFormat="false" ht="15" hidden="false" customHeight="false" outlineLevel="0" collapsed="false">
      <c r="A13" s="7" t="s">
        <v>59</v>
      </c>
      <c r="B13" s="7" t="s">
        <v>60</v>
      </c>
      <c r="C13" s="8" t="s">
        <v>61</v>
      </c>
      <c r="D13" s="8" t="s">
        <v>29</v>
      </c>
      <c r="E13" s="8" t="s">
        <v>30</v>
      </c>
      <c r="F13" s="15" t="s">
        <v>35</v>
      </c>
      <c r="G13" s="8" t="n">
        <v>0.79</v>
      </c>
      <c r="H13" s="10" t="n">
        <v>2031.78</v>
      </c>
      <c r="I13" s="11" t="n">
        <v>20</v>
      </c>
      <c r="J13" s="12" t="n">
        <v>2.29</v>
      </c>
      <c r="K13" s="13" t="n">
        <v>20.8</v>
      </c>
      <c r="L13" s="13" t="n">
        <v>14.2</v>
      </c>
      <c r="M13" s="13" t="n">
        <v>8.9</v>
      </c>
      <c r="N13" s="13" t="n">
        <v>19.1</v>
      </c>
      <c r="O13" s="14" t="n">
        <f aca="false">ROUND(L13/N13,2)</f>
        <v>0.74</v>
      </c>
    </row>
    <row r="14" customFormat="false" ht="15" hidden="false" customHeight="false" outlineLevel="0" collapsed="false">
      <c r="A14" s="7" t="s">
        <v>62</v>
      </c>
      <c r="B14" s="7" t="s">
        <v>63</v>
      </c>
      <c r="C14" s="8" t="s">
        <v>34</v>
      </c>
      <c r="D14" s="8" t="s">
        <v>29</v>
      </c>
      <c r="E14" s="8" t="s">
        <v>30</v>
      </c>
      <c r="F14" s="15" t="s">
        <v>35</v>
      </c>
      <c r="G14" s="8" t="n">
        <v>0.86</v>
      </c>
      <c r="H14" s="10" t="n">
        <v>1558.65</v>
      </c>
      <c r="I14" s="11" t="n">
        <v>20.9</v>
      </c>
      <c r="J14" s="12" t="n">
        <v>1.23</v>
      </c>
      <c r="K14" s="13" t="n">
        <v>2.1</v>
      </c>
      <c r="L14" s="13" t="n">
        <v>14.7</v>
      </c>
      <c r="M14" s="13" t="n">
        <v>13.8</v>
      </c>
      <c r="N14" s="13" t="n">
        <v>19.8</v>
      </c>
      <c r="O14" s="14" t="n">
        <f aca="false">ROUND(L14/N14,2)</f>
        <v>0.74</v>
      </c>
    </row>
    <row r="15" customFormat="false" ht="15" hidden="false" customHeight="false" outlineLevel="0" collapsed="false">
      <c r="A15" s="7" t="s">
        <v>64</v>
      </c>
      <c r="B15" s="7" t="s">
        <v>65</v>
      </c>
      <c r="C15" s="8" t="s">
        <v>66</v>
      </c>
      <c r="D15" s="8" t="s">
        <v>29</v>
      </c>
      <c r="E15" s="8" t="s">
        <v>30</v>
      </c>
      <c r="F15" s="15" t="s">
        <v>35</v>
      </c>
      <c r="G15" s="8" t="n">
        <v>0.75</v>
      </c>
      <c r="H15" s="10" t="n">
        <v>693.72</v>
      </c>
      <c r="I15" s="11" t="n">
        <v>27.5</v>
      </c>
      <c r="J15" s="12" t="n">
        <v>3.07</v>
      </c>
      <c r="K15" s="13" t="n">
        <v>12.2</v>
      </c>
      <c r="L15" s="13" t="n">
        <v>8.4</v>
      </c>
      <c r="M15" s="13" t="n">
        <v>11</v>
      </c>
      <c r="N15" s="13" t="n">
        <v>13.3</v>
      </c>
      <c r="O15" s="14" t="n">
        <f aca="false">ROUND(L15/N15,2)</f>
        <v>0.63</v>
      </c>
    </row>
    <row r="16" customFormat="false" ht="15" hidden="false" customHeight="false" outlineLevel="0" collapsed="false">
      <c r="A16" s="7" t="s">
        <v>67</v>
      </c>
      <c r="B16" s="7" t="s">
        <v>68</v>
      </c>
      <c r="C16" s="8" t="s">
        <v>38</v>
      </c>
      <c r="D16" s="8" t="s">
        <v>29</v>
      </c>
      <c r="E16" s="8" t="s">
        <v>30</v>
      </c>
      <c r="F16" s="9" t="s">
        <v>31</v>
      </c>
      <c r="G16" s="8" t="n">
        <v>1.22</v>
      </c>
      <c r="H16" s="10" t="n">
        <v>2156.46</v>
      </c>
      <c r="I16" s="11" t="n">
        <v>28.1</v>
      </c>
      <c r="J16" s="12" t="n">
        <v>0.4</v>
      </c>
      <c r="K16" s="13" t="n">
        <v>7.6</v>
      </c>
      <c r="L16" s="13" t="n">
        <v>23.7</v>
      </c>
      <c r="M16" s="13" t="n">
        <v>17.3</v>
      </c>
      <c r="N16" s="13" t="n">
        <v>20.4</v>
      </c>
      <c r="O16" s="14" t="n">
        <f aca="false">ROUND(L16/N16,2)</f>
        <v>1.16</v>
      </c>
    </row>
    <row r="17" customFormat="false" ht="15" hidden="false" customHeight="false" outlineLevel="0" collapsed="false">
      <c r="A17" s="7" t="s">
        <v>69</v>
      </c>
      <c r="B17" s="7" t="s">
        <v>70</v>
      </c>
      <c r="C17" s="8" t="s">
        <v>71</v>
      </c>
      <c r="D17" s="8" t="s">
        <v>29</v>
      </c>
      <c r="E17" s="8" t="s">
        <v>30</v>
      </c>
      <c r="F17" s="15" t="s">
        <v>35</v>
      </c>
      <c r="G17" s="8" t="n">
        <v>0.9</v>
      </c>
      <c r="H17" s="10" t="n">
        <v>3803.71</v>
      </c>
      <c r="I17" s="11" t="n">
        <v>16.7</v>
      </c>
      <c r="J17" s="12" t="n">
        <v>2.11</v>
      </c>
      <c r="K17" s="13" t="n">
        <v>3.4</v>
      </c>
      <c r="L17" s="13" t="n">
        <v>15.1</v>
      </c>
      <c r="M17" s="13" t="n">
        <v>14.1</v>
      </c>
      <c r="N17" s="13" t="n">
        <v>13</v>
      </c>
      <c r="O17" s="14" t="n">
        <f aca="false">ROUND(L17/N17,2)</f>
        <v>1.16</v>
      </c>
    </row>
    <row r="18" customFormat="false" ht="15" hidden="false" customHeight="false" outlineLevel="0" collapsed="false">
      <c r="A18" s="7" t="s">
        <v>72</v>
      </c>
      <c r="B18" s="7" t="s">
        <v>73</v>
      </c>
      <c r="C18" s="8" t="s">
        <v>74</v>
      </c>
      <c r="D18" s="8" t="s">
        <v>29</v>
      </c>
      <c r="E18" s="8" t="s">
        <v>30</v>
      </c>
      <c r="F18" s="15" t="s">
        <v>35</v>
      </c>
      <c r="G18" s="8" t="n">
        <v>0.93</v>
      </c>
      <c r="H18" s="10" t="n">
        <v>910.97</v>
      </c>
      <c r="I18" s="11" t="n">
        <v>25.6</v>
      </c>
      <c r="J18" s="12" t="n">
        <v>2.44</v>
      </c>
      <c r="K18" s="13" t="n">
        <v>21.3</v>
      </c>
      <c r="L18" s="13" t="n">
        <v>17.1</v>
      </c>
      <c r="M18" s="13" t="n">
        <v>14</v>
      </c>
      <c r="N18" s="13" t="n">
        <v>17.5</v>
      </c>
      <c r="O18" s="14" t="n">
        <f aca="false">ROUND(L18/N18,2)</f>
        <v>0.98</v>
      </c>
    </row>
    <row r="19" customFormat="false" ht="15" hidden="false" customHeight="false" outlineLevel="0" collapsed="false">
      <c r="A19" s="7" t="s">
        <v>75</v>
      </c>
      <c r="B19" s="7" t="s">
        <v>76</v>
      </c>
      <c r="C19" s="8" t="s">
        <v>77</v>
      </c>
      <c r="D19" s="8" t="s">
        <v>29</v>
      </c>
      <c r="E19" s="8" t="s">
        <v>30</v>
      </c>
      <c r="F19" s="9" t="s">
        <v>31</v>
      </c>
      <c r="G19" s="8" t="n">
        <v>0.97</v>
      </c>
      <c r="H19" s="10" t="n">
        <v>3483.75</v>
      </c>
      <c r="I19" s="11" t="n">
        <v>33.4</v>
      </c>
      <c r="J19" s="12" t="n">
        <v>0.99</v>
      </c>
      <c r="K19" s="13" t="n">
        <v>14.3</v>
      </c>
      <c r="L19" s="13" t="n">
        <v>6.4</v>
      </c>
      <c r="M19" s="13" t="n">
        <v>9.1</v>
      </c>
      <c r="N19" s="13" t="n">
        <v>21.4</v>
      </c>
      <c r="O19" s="14" t="n">
        <f aca="false">ROUND(L19/N19,2)</f>
        <v>0.3</v>
      </c>
    </row>
    <row r="20" customFormat="false" ht="15" hidden="false" customHeight="false" outlineLevel="0" collapsed="false">
      <c r="A20" s="7" t="s">
        <v>78</v>
      </c>
      <c r="B20" s="7" t="s">
        <v>79</v>
      </c>
      <c r="C20" s="8" t="s">
        <v>80</v>
      </c>
      <c r="D20" s="8" t="s">
        <v>29</v>
      </c>
      <c r="E20" s="8" t="s">
        <v>30</v>
      </c>
      <c r="F20" s="9" t="s">
        <v>31</v>
      </c>
      <c r="G20" s="8" t="n">
        <v>1.07</v>
      </c>
      <c r="H20" s="10" t="n">
        <v>2121.27</v>
      </c>
      <c r="I20" s="11" t="n">
        <v>12.2</v>
      </c>
      <c r="J20" s="12" t="n">
        <v>1.47</v>
      </c>
      <c r="K20" s="13" t="n">
        <v>-5.5</v>
      </c>
      <c r="L20" s="13" t="n">
        <v>5.3</v>
      </c>
      <c r="M20" s="13" t="n">
        <v>6.4</v>
      </c>
      <c r="N20" s="13" t="n">
        <v>21.3</v>
      </c>
      <c r="O20" s="14" t="n">
        <f aca="false">ROUND(L20/N20,2)</f>
        <v>0.25</v>
      </c>
    </row>
    <row r="21" customFormat="false" ht="15" hidden="false" customHeight="false" outlineLevel="0" collapsed="false">
      <c r="A21" s="7" t="s">
        <v>81</v>
      </c>
      <c r="B21" s="7" t="s">
        <v>82</v>
      </c>
      <c r="C21" s="8" t="s">
        <v>45</v>
      </c>
      <c r="D21" s="8" t="s">
        <v>29</v>
      </c>
      <c r="E21" s="8" t="s">
        <v>30</v>
      </c>
      <c r="F21" s="9" t="s">
        <v>31</v>
      </c>
      <c r="G21" s="8" t="n">
        <v>0.95</v>
      </c>
      <c r="H21" s="10" t="n">
        <v>2391.08</v>
      </c>
      <c r="I21" s="11" t="n">
        <v>19.1</v>
      </c>
      <c r="J21" s="12" t="n">
        <v>0.44</v>
      </c>
      <c r="K21" s="13" t="n">
        <v>32.2</v>
      </c>
      <c r="L21" s="13" t="n">
        <v>15.4</v>
      </c>
      <c r="M21" s="13" t="n">
        <v>12.6</v>
      </c>
      <c r="N21" s="13" t="n">
        <v>25.8</v>
      </c>
      <c r="O21" s="14" t="n">
        <f aca="false">ROUND(L21/N21,2)</f>
        <v>0.6</v>
      </c>
    </row>
    <row r="22" customFormat="false" ht="15" hidden="false" customHeight="false" outlineLevel="0" collapsed="false">
      <c r="A22" s="7" t="s">
        <v>83</v>
      </c>
      <c r="B22" s="7" t="s">
        <v>84</v>
      </c>
      <c r="C22" s="8" t="s">
        <v>34</v>
      </c>
      <c r="D22" s="8" t="s">
        <v>29</v>
      </c>
      <c r="E22" s="8" t="s">
        <v>30</v>
      </c>
      <c r="F22" s="15" t="s">
        <v>35</v>
      </c>
      <c r="G22" s="8" t="n">
        <v>0.63</v>
      </c>
      <c r="H22" s="10" t="n">
        <v>658.64</v>
      </c>
      <c r="I22" s="11" t="n">
        <v>23.6</v>
      </c>
      <c r="J22" s="12" t="n">
        <v>1.94</v>
      </c>
      <c r="K22" s="13" t="n">
        <v>11.3</v>
      </c>
      <c r="L22" s="13" t="n">
        <v>14.7</v>
      </c>
      <c r="M22" s="13" t="n">
        <v>13.4</v>
      </c>
      <c r="N22" s="13" t="n">
        <v>19.9</v>
      </c>
      <c r="O22" s="14" t="n">
        <f aca="false">ROUND(L22/N22,2)</f>
        <v>0.74</v>
      </c>
    </row>
    <row r="23" customFormat="false" ht="15" hidden="false" customHeight="false" outlineLevel="0" collapsed="false">
      <c r="A23" s="7" t="s">
        <v>85</v>
      </c>
      <c r="B23" s="7" t="s">
        <v>86</v>
      </c>
      <c r="C23" s="8" t="s">
        <v>87</v>
      </c>
      <c r="D23" s="8" t="s">
        <v>29</v>
      </c>
      <c r="E23" s="8" t="s">
        <v>30</v>
      </c>
      <c r="F23" s="15" t="s">
        <v>35</v>
      </c>
      <c r="G23" s="8" t="n">
        <v>0.57</v>
      </c>
      <c r="H23" s="10" t="n">
        <v>2994.39</v>
      </c>
      <c r="I23" s="11" t="n">
        <v>31</v>
      </c>
      <c r="J23" s="12" t="n">
        <v>1.1</v>
      </c>
      <c r="K23" s="13" t="n">
        <v>5.8</v>
      </c>
      <c r="L23" s="13" t="n">
        <v>12.4</v>
      </c>
      <c r="M23" s="13" t="n">
        <v>9.1</v>
      </c>
      <c r="N23" s="13" t="n">
        <v>13.5</v>
      </c>
      <c r="O23" s="14" t="n">
        <f aca="false">ROUND(L23/N23,2)</f>
        <v>0.92</v>
      </c>
    </row>
    <row r="24" customFormat="false" ht="15" hidden="false" customHeight="false" outlineLevel="0" collapsed="false">
      <c r="A24" s="7" t="s">
        <v>88</v>
      </c>
      <c r="B24" s="7" t="s">
        <v>89</v>
      </c>
      <c r="C24" s="8" t="s">
        <v>90</v>
      </c>
      <c r="D24" s="8" t="s">
        <v>29</v>
      </c>
      <c r="E24" s="8" t="s">
        <v>30</v>
      </c>
      <c r="F24" s="15" t="s">
        <v>35</v>
      </c>
      <c r="G24" s="8" t="n">
        <v>0.65</v>
      </c>
      <c r="H24" s="10" t="n">
        <v>3716.08</v>
      </c>
      <c r="I24" s="11" t="n">
        <v>23.9</v>
      </c>
      <c r="J24" s="12" t="n">
        <v>3.13</v>
      </c>
      <c r="K24" s="13" t="n">
        <v>13</v>
      </c>
      <c r="L24" s="13" t="n">
        <v>6.6</v>
      </c>
      <c r="M24" s="13" t="n">
        <v>16</v>
      </c>
      <c r="N24" s="13" t="n">
        <v>18.7</v>
      </c>
      <c r="O24" s="14" t="n">
        <f aca="false">ROUND(L24/N24,2)</f>
        <v>0.35</v>
      </c>
    </row>
    <row r="25" customFormat="false" ht="15" hidden="false" customHeight="false" outlineLevel="0" collapsed="false">
      <c r="A25" s="7" t="s">
        <v>91</v>
      </c>
      <c r="B25" s="7" t="s">
        <v>92</v>
      </c>
      <c r="C25" s="8" t="s">
        <v>93</v>
      </c>
      <c r="D25" s="8" t="s">
        <v>29</v>
      </c>
      <c r="E25" s="8" t="s">
        <v>30</v>
      </c>
      <c r="F25" s="15" t="s">
        <v>35</v>
      </c>
      <c r="G25" s="8" t="n">
        <v>0.92</v>
      </c>
      <c r="H25" s="10" t="n">
        <v>3440.17</v>
      </c>
      <c r="I25" s="11" t="n">
        <v>18.3</v>
      </c>
      <c r="J25" s="12" t="n">
        <v>2.11</v>
      </c>
      <c r="K25" s="13" t="n">
        <v>6.3</v>
      </c>
      <c r="L25" s="13" t="n">
        <v>10.8</v>
      </c>
      <c r="M25" s="13" t="n">
        <v>8.5</v>
      </c>
      <c r="N25" s="13" t="n">
        <v>15</v>
      </c>
      <c r="O25" s="14" t="n">
        <f aca="false">ROUND(L25/N25,2)</f>
        <v>0.72</v>
      </c>
    </row>
    <row r="26" customFormat="false" ht="15" hidden="false" customHeight="false" outlineLevel="0" collapsed="false">
      <c r="A26" s="7" t="s">
        <v>94</v>
      </c>
      <c r="B26" s="7" t="s">
        <v>95</v>
      </c>
      <c r="C26" s="8" t="s">
        <v>93</v>
      </c>
      <c r="D26" s="8" t="s">
        <v>29</v>
      </c>
      <c r="E26" s="8" t="s">
        <v>30</v>
      </c>
      <c r="F26" s="15" t="s">
        <v>35</v>
      </c>
      <c r="G26" s="8" t="n">
        <v>0.66</v>
      </c>
      <c r="H26" s="10" t="n">
        <v>3201.06</v>
      </c>
      <c r="I26" s="11" t="n">
        <v>24.1</v>
      </c>
      <c r="J26" s="12" t="n">
        <v>1.94</v>
      </c>
      <c r="K26" s="13" t="n">
        <v>21.1</v>
      </c>
      <c r="L26" s="13" t="n">
        <v>17.9</v>
      </c>
      <c r="M26" s="13" t="n">
        <v>12.4</v>
      </c>
      <c r="N26" s="13" t="n">
        <v>17.7</v>
      </c>
      <c r="O26" s="14" t="n">
        <f aca="false">ROUND(L26/N26,2)</f>
        <v>1.01</v>
      </c>
    </row>
    <row r="27" customFormat="false" ht="15" hidden="false" customHeight="false" outlineLevel="0" collapsed="false">
      <c r="A27" s="7" t="s">
        <v>96</v>
      </c>
      <c r="B27" s="7" t="s">
        <v>97</v>
      </c>
      <c r="C27" s="8" t="s">
        <v>71</v>
      </c>
      <c r="D27" s="8" t="s">
        <v>29</v>
      </c>
      <c r="E27" s="8" t="s">
        <v>30</v>
      </c>
      <c r="F27" s="15" t="s">
        <v>35</v>
      </c>
      <c r="G27" s="8" t="n">
        <v>0.63</v>
      </c>
      <c r="H27" s="10" t="n">
        <v>1105.49</v>
      </c>
      <c r="I27" s="11" t="n">
        <v>16.2</v>
      </c>
      <c r="J27" s="12" t="n">
        <v>2.79</v>
      </c>
      <c r="K27" s="13" t="n">
        <v>3.2</v>
      </c>
      <c r="L27" s="13" t="n">
        <v>9.8</v>
      </c>
      <c r="M27" s="13" t="n">
        <v>8.4</v>
      </c>
      <c r="N27" s="13" t="n">
        <v>15.8</v>
      </c>
      <c r="O27" s="14" t="n">
        <f aca="false">ROUND(L27/N27,2)</f>
        <v>0.62</v>
      </c>
    </row>
    <row r="28" customFormat="false" ht="15" hidden="false" customHeight="false" outlineLevel="0" collapsed="false">
      <c r="A28" s="7" t="s">
        <v>98</v>
      </c>
      <c r="B28" s="7" t="s">
        <v>99</v>
      </c>
      <c r="C28" s="8" t="s">
        <v>71</v>
      </c>
      <c r="D28" s="8" t="s">
        <v>29</v>
      </c>
      <c r="E28" s="8" t="s">
        <v>30</v>
      </c>
      <c r="F28" s="9" t="s">
        <v>31</v>
      </c>
      <c r="G28" s="8" t="n">
        <v>0.91</v>
      </c>
      <c r="H28" s="10" t="n">
        <v>3368.61</v>
      </c>
      <c r="I28" s="11" t="n">
        <v>14.6</v>
      </c>
      <c r="J28" s="12" t="n">
        <v>0.53</v>
      </c>
      <c r="K28" s="13" t="n">
        <v>17.6</v>
      </c>
      <c r="L28" s="13" t="n">
        <v>17.5</v>
      </c>
      <c r="M28" s="13" t="n">
        <v>9.3</v>
      </c>
      <c r="N28" s="13" t="n">
        <v>19.2</v>
      </c>
      <c r="O28" s="14" t="n">
        <f aca="false">ROUND(L28/N28,2)</f>
        <v>0.91</v>
      </c>
    </row>
    <row r="29" customFormat="false" ht="15" hidden="false" customHeight="false" outlineLevel="0" collapsed="false">
      <c r="A29" s="7" t="s">
        <v>100</v>
      </c>
      <c r="B29" s="7" t="s">
        <v>101</v>
      </c>
      <c r="C29" s="8" t="s">
        <v>102</v>
      </c>
      <c r="D29" s="8" t="s">
        <v>29</v>
      </c>
      <c r="E29" s="8" t="s">
        <v>30</v>
      </c>
      <c r="F29" s="9" t="s">
        <v>31</v>
      </c>
      <c r="G29" s="8" t="n">
        <v>0.95</v>
      </c>
      <c r="H29" s="10" t="n">
        <v>2141.64</v>
      </c>
      <c r="I29" s="11" t="n">
        <v>32.4</v>
      </c>
      <c r="J29" s="12" t="n">
        <v>0.95</v>
      </c>
      <c r="K29" s="13" t="n">
        <v>17.1</v>
      </c>
      <c r="L29" s="13" t="n">
        <v>14.5</v>
      </c>
      <c r="M29" s="13" t="n">
        <v>19.1</v>
      </c>
      <c r="N29" s="13" t="n">
        <v>20</v>
      </c>
      <c r="O29" s="14" t="n">
        <f aca="false">ROUND(L29/N29,2)</f>
        <v>0.73</v>
      </c>
    </row>
    <row r="30" customFormat="false" ht="15" hidden="false" customHeight="false" outlineLevel="0" collapsed="false">
      <c r="A30" s="7" t="s">
        <v>103</v>
      </c>
      <c r="B30" s="7" t="s">
        <v>104</v>
      </c>
      <c r="C30" s="8" t="s">
        <v>102</v>
      </c>
      <c r="D30" s="8" t="s">
        <v>29</v>
      </c>
      <c r="E30" s="8" t="s">
        <v>30</v>
      </c>
      <c r="F30" s="9" t="s">
        <v>31</v>
      </c>
      <c r="G30" s="8" t="n">
        <v>0.98</v>
      </c>
      <c r="H30" s="10" t="n">
        <v>1039.81</v>
      </c>
      <c r="I30" s="11" t="n">
        <v>16.3</v>
      </c>
      <c r="J30" s="12" t="n">
        <v>1.36</v>
      </c>
      <c r="K30" s="13" t="n">
        <v>11.7</v>
      </c>
      <c r="L30" s="13" t="n">
        <v>22.6</v>
      </c>
      <c r="M30" s="13" t="n">
        <v>19.1</v>
      </c>
      <c r="N30" s="13" t="n">
        <v>18.1</v>
      </c>
      <c r="O30" s="14" t="n">
        <f aca="false">ROUND(L30/N30,2)</f>
        <v>1.25</v>
      </c>
    </row>
    <row r="31" customFormat="false" ht="15" hidden="false" customHeight="false" outlineLevel="0" collapsed="false">
      <c r="A31" s="7" t="s">
        <v>105</v>
      </c>
      <c r="B31" s="7" t="s">
        <v>106</v>
      </c>
      <c r="C31" s="8" t="s">
        <v>38</v>
      </c>
      <c r="D31" s="8" t="s">
        <v>29</v>
      </c>
      <c r="E31" s="8" t="s">
        <v>30</v>
      </c>
      <c r="F31" s="9" t="s">
        <v>31</v>
      </c>
      <c r="G31" s="8" t="n">
        <v>1.25</v>
      </c>
      <c r="H31" s="10" t="n">
        <v>3486.92</v>
      </c>
      <c r="I31" s="11" t="n">
        <v>14.4</v>
      </c>
      <c r="J31" s="12" t="n">
        <v>0.58</v>
      </c>
      <c r="K31" s="13" t="n">
        <v>3.4</v>
      </c>
      <c r="L31" s="13" t="n">
        <v>22.7</v>
      </c>
      <c r="M31" s="13" t="n">
        <v>18.3</v>
      </c>
      <c r="N31" s="13" t="n">
        <v>26.8</v>
      </c>
      <c r="O31" s="14" t="n">
        <f aca="false">ROUND(L31/N31,2)</f>
        <v>0.85</v>
      </c>
    </row>
    <row r="32" customFormat="false" ht="15" hidden="false" customHeight="false" outlineLevel="0" collapsed="false">
      <c r="A32" s="7" t="s">
        <v>107</v>
      </c>
      <c r="B32" s="7" t="s">
        <v>108</v>
      </c>
      <c r="C32" s="8" t="s">
        <v>109</v>
      </c>
      <c r="D32" s="8" t="s">
        <v>29</v>
      </c>
      <c r="E32" s="8" t="s">
        <v>30</v>
      </c>
      <c r="F32" s="15" t="s">
        <v>35</v>
      </c>
      <c r="G32" s="8" t="n">
        <v>0.66</v>
      </c>
      <c r="H32" s="10" t="n">
        <v>1921.28</v>
      </c>
      <c r="I32" s="11" t="n">
        <v>25.9</v>
      </c>
      <c r="J32" s="12" t="n">
        <v>1.62</v>
      </c>
      <c r="K32" s="13" t="n">
        <v>21.7</v>
      </c>
      <c r="L32" s="13" t="n">
        <v>15.7</v>
      </c>
      <c r="M32" s="13" t="n">
        <v>12.2</v>
      </c>
      <c r="N32" s="13" t="n">
        <v>17.3</v>
      </c>
      <c r="O32" s="14" t="n">
        <f aca="false">ROUND(L32/N32,2)</f>
        <v>0.91</v>
      </c>
    </row>
    <row r="33" customFormat="false" ht="15" hidden="false" customHeight="false" outlineLevel="0" collapsed="false">
      <c r="A33" s="7" t="s">
        <v>110</v>
      </c>
      <c r="B33" s="7" t="s">
        <v>111</v>
      </c>
      <c r="C33" s="8" t="s">
        <v>112</v>
      </c>
      <c r="D33" s="8" t="s">
        <v>29</v>
      </c>
      <c r="E33" s="8" t="s">
        <v>30</v>
      </c>
      <c r="F33" s="9" t="s">
        <v>31</v>
      </c>
      <c r="G33" s="8" t="n">
        <v>0.97</v>
      </c>
      <c r="H33" s="10" t="n">
        <v>2372.35</v>
      </c>
      <c r="I33" s="11" t="n">
        <v>43</v>
      </c>
      <c r="J33" s="12" t="n">
        <v>0.44</v>
      </c>
      <c r="K33" s="13" t="n">
        <v>-3</v>
      </c>
      <c r="L33" s="13" t="n">
        <v>6.1</v>
      </c>
      <c r="M33" s="13" t="n">
        <v>13.7</v>
      </c>
      <c r="N33" s="13" t="n">
        <v>20.7</v>
      </c>
      <c r="O33" s="14" t="n">
        <f aca="false">ROUND(L33/N33,2)</f>
        <v>0.29</v>
      </c>
    </row>
    <row r="34" customFormat="false" ht="15" hidden="false" customHeight="false" outlineLevel="0" collapsed="false">
      <c r="A34" s="7" t="s">
        <v>113</v>
      </c>
      <c r="B34" s="7" t="s">
        <v>114</v>
      </c>
      <c r="C34" s="8" t="s">
        <v>112</v>
      </c>
      <c r="D34" s="8" t="s">
        <v>29</v>
      </c>
      <c r="E34" s="8" t="s">
        <v>30</v>
      </c>
      <c r="F34" s="9" t="s">
        <v>31</v>
      </c>
      <c r="G34" s="8" t="n">
        <v>0.93</v>
      </c>
      <c r="H34" s="10" t="n">
        <v>1298.65</v>
      </c>
      <c r="I34" s="11" t="n">
        <v>34.7</v>
      </c>
      <c r="J34" s="12" t="n">
        <v>1.74</v>
      </c>
      <c r="K34" s="13" t="n">
        <v>13.7</v>
      </c>
      <c r="L34" s="13" t="n">
        <v>9</v>
      </c>
      <c r="M34" s="13" t="n">
        <v>18.7</v>
      </c>
      <c r="N34" s="13" t="n">
        <v>18.5</v>
      </c>
      <c r="O34" s="14" t="n">
        <f aca="false">ROUND(L34/N34,2)</f>
        <v>0.49</v>
      </c>
    </row>
    <row r="35" customFormat="false" ht="15" hidden="false" customHeight="false" outlineLevel="0" collapsed="false">
      <c r="A35" s="7" t="s">
        <v>115</v>
      </c>
      <c r="B35" s="7" t="s">
        <v>116</v>
      </c>
      <c r="C35" s="8" t="s">
        <v>117</v>
      </c>
      <c r="D35" s="8" t="s">
        <v>29</v>
      </c>
      <c r="E35" s="8" t="s">
        <v>30</v>
      </c>
      <c r="F35" s="9" t="s">
        <v>31</v>
      </c>
      <c r="G35" s="8" t="n">
        <v>1.02</v>
      </c>
      <c r="H35" s="10" t="n">
        <v>1076.88</v>
      </c>
      <c r="I35" s="11" t="n">
        <v>12.1</v>
      </c>
      <c r="J35" s="12" t="n">
        <v>1.59</v>
      </c>
      <c r="K35" s="13" t="n">
        <v>19.4</v>
      </c>
      <c r="L35" s="13" t="n">
        <v>9.2</v>
      </c>
      <c r="M35" s="13" t="n">
        <v>16.4</v>
      </c>
      <c r="N35" s="13" t="n">
        <v>23.5</v>
      </c>
      <c r="O35" s="14" t="n">
        <f aca="false">ROUND(L35/N35,2)</f>
        <v>0.39</v>
      </c>
    </row>
    <row r="36" customFormat="false" ht="15" hidden="false" customHeight="false" outlineLevel="0" collapsed="false">
      <c r="A36" s="7" t="s">
        <v>118</v>
      </c>
      <c r="B36" s="7" t="s">
        <v>119</v>
      </c>
      <c r="C36" s="8" t="s">
        <v>74</v>
      </c>
      <c r="D36" s="8" t="s">
        <v>29</v>
      </c>
      <c r="E36" s="8" t="s">
        <v>30</v>
      </c>
      <c r="F36" s="15" t="s">
        <v>35</v>
      </c>
      <c r="G36" s="8" t="n">
        <v>0.77</v>
      </c>
      <c r="H36" s="10" t="n">
        <v>713.93</v>
      </c>
      <c r="I36" s="11" t="n">
        <v>33.9</v>
      </c>
      <c r="J36" s="12" t="n">
        <v>2.67</v>
      </c>
      <c r="K36" s="13" t="n">
        <v>5</v>
      </c>
      <c r="L36" s="13" t="n">
        <v>6.4</v>
      </c>
      <c r="M36" s="13" t="n">
        <v>11</v>
      </c>
      <c r="N36" s="13" t="n">
        <v>16.4</v>
      </c>
      <c r="O36" s="14" t="n">
        <f aca="false">ROUND(L36/N36,2)</f>
        <v>0.39</v>
      </c>
    </row>
    <row r="37" customFormat="false" ht="15" hidden="false" customHeight="false" outlineLevel="0" collapsed="false">
      <c r="A37" s="7" t="s">
        <v>120</v>
      </c>
      <c r="B37" s="7" t="s">
        <v>121</v>
      </c>
      <c r="C37" s="8" t="s">
        <v>74</v>
      </c>
      <c r="D37" s="8" t="s">
        <v>29</v>
      </c>
      <c r="E37" s="8" t="s">
        <v>30</v>
      </c>
      <c r="F37" s="15" t="s">
        <v>35</v>
      </c>
      <c r="G37" s="8" t="n">
        <v>0.6</v>
      </c>
      <c r="H37" s="10" t="n">
        <v>1440.56</v>
      </c>
      <c r="I37" s="11" t="n">
        <v>33</v>
      </c>
      <c r="J37" s="12" t="n">
        <v>2.95</v>
      </c>
      <c r="K37" s="13" t="n">
        <v>19.2</v>
      </c>
      <c r="L37" s="13" t="n">
        <v>16.8</v>
      </c>
      <c r="M37" s="13" t="n">
        <v>9.7</v>
      </c>
      <c r="N37" s="13" t="n">
        <v>14</v>
      </c>
      <c r="O37" s="14" t="n">
        <f aca="false">ROUND(L37/N37,2)</f>
        <v>1.2</v>
      </c>
    </row>
    <row r="38" customFormat="false" ht="15" hidden="false" customHeight="false" outlineLevel="0" collapsed="false">
      <c r="A38" s="7" t="s">
        <v>122</v>
      </c>
      <c r="B38" s="7" t="s">
        <v>123</v>
      </c>
      <c r="C38" s="8" t="s">
        <v>71</v>
      </c>
      <c r="D38" s="8" t="s">
        <v>29</v>
      </c>
      <c r="E38" s="8" t="s">
        <v>30</v>
      </c>
      <c r="F38" s="15" t="s">
        <v>35</v>
      </c>
      <c r="G38" s="8" t="n">
        <v>0.69</v>
      </c>
      <c r="H38" s="10" t="n">
        <v>2371.57</v>
      </c>
      <c r="I38" s="11" t="n">
        <v>32.5</v>
      </c>
      <c r="J38" s="12" t="n">
        <v>3.43</v>
      </c>
      <c r="K38" s="13" t="n">
        <v>17</v>
      </c>
      <c r="L38" s="13" t="n">
        <v>17.1</v>
      </c>
      <c r="M38" s="13" t="n">
        <v>9.9</v>
      </c>
      <c r="N38" s="13" t="n">
        <v>13.3</v>
      </c>
      <c r="O38" s="14" t="n">
        <f aca="false">ROUND(L38/N38,2)</f>
        <v>1.29</v>
      </c>
    </row>
    <row r="39" customFormat="false" ht="15" hidden="false" customHeight="false" outlineLevel="0" collapsed="false">
      <c r="A39" s="7" t="s">
        <v>124</v>
      </c>
      <c r="B39" s="7" t="s">
        <v>125</v>
      </c>
      <c r="C39" s="8" t="s">
        <v>45</v>
      </c>
      <c r="D39" s="8" t="s">
        <v>29</v>
      </c>
      <c r="E39" s="8" t="s">
        <v>30</v>
      </c>
      <c r="F39" s="15" t="s">
        <v>35</v>
      </c>
      <c r="G39" s="8" t="n">
        <v>0.9</v>
      </c>
      <c r="H39" s="10" t="n">
        <v>391.71</v>
      </c>
      <c r="I39" s="11" t="n">
        <v>29.7</v>
      </c>
      <c r="J39" s="12" t="n">
        <v>1.7</v>
      </c>
      <c r="K39" s="13" t="n">
        <v>20.6</v>
      </c>
      <c r="L39" s="13" t="n">
        <v>15.6</v>
      </c>
      <c r="M39" s="13" t="n">
        <v>14.9</v>
      </c>
      <c r="N39" s="13" t="n">
        <v>18.5</v>
      </c>
      <c r="O39" s="14" t="n">
        <f aca="false">ROUND(L39/N39,2)</f>
        <v>0.84</v>
      </c>
    </row>
    <row r="40" customFormat="false" ht="15" hidden="false" customHeight="false" outlineLevel="0" collapsed="false">
      <c r="A40" s="7" t="s">
        <v>126</v>
      </c>
      <c r="B40" s="7" t="s">
        <v>127</v>
      </c>
      <c r="C40" s="8" t="s">
        <v>74</v>
      </c>
      <c r="D40" s="8" t="s">
        <v>29</v>
      </c>
      <c r="E40" s="8" t="s">
        <v>30</v>
      </c>
      <c r="F40" s="15" t="s">
        <v>35</v>
      </c>
      <c r="G40" s="8" t="n">
        <v>0.61</v>
      </c>
      <c r="H40" s="10" t="n">
        <v>2894.73</v>
      </c>
      <c r="I40" s="11" t="n">
        <v>22.7</v>
      </c>
      <c r="J40" s="12" t="n">
        <v>0.9</v>
      </c>
      <c r="K40" s="13" t="n">
        <v>11.4</v>
      </c>
      <c r="L40" s="13" t="n">
        <v>8.4</v>
      </c>
      <c r="M40" s="13" t="n">
        <v>15.3</v>
      </c>
      <c r="N40" s="13" t="n">
        <v>14.8</v>
      </c>
      <c r="O40" s="14" t="n">
        <f aca="false">ROUND(L40/N40,2)</f>
        <v>0.57</v>
      </c>
    </row>
    <row r="41" customFormat="false" ht="15" hidden="false" customHeight="false" outlineLevel="0" collapsed="false">
      <c r="A41" s="7" t="s">
        <v>128</v>
      </c>
      <c r="B41" s="7" t="s">
        <v>129</v>
      </c>
      <c r="C41" s="8" t="s">
        <v>130</v>
      </c>
      <c r="D41" s="8" t="s">
        <v>29</v>
      </c>
      <c r="E41" s="8" t="s">
        <v>30</v>
      </c>
      <c r="F41" s="15" t="s">
        <v>35</v>
      </c>
      <c r="G41" s="8" t="n">
        <v>0.64</v>
      </c>
      <c r="H41" s="10" t="n">
        <v>2742.12</v>
      </c>
      <c r="I41" s="11" t="n">
        <v>23</v>
      </c>
      <c r="J41" s="12" t="n">
        <v>1.55</v>
      </c>
      <c r="K41" s="13" t="n">
        <v>3.4</v>
      </c>
      <c r="L41" s="13" t="n">
        <v>15.3</v>
      </c>
      <c r="M41" s="13" t="n">
        <v>10.8</v>
      </c>
      <c r="N41" s="13" t="n">
        <v>16.1</v>
      </c>
      <c r="O41" s="14" t="n">
        <f aca="false">ROUND(L41/N41,2)</f>
        <v>0.95</v>
      </c>
    </row>
    <row r="42" customFormat="false" ht="15" hidden="false" customHeight="false" outlineLevel="0" collapsed="false">
      <c r="A42" s="7" t="s">
        <v>131</v>
      </c>
      <c r="B42" s="7" t="s">
        <v>132</v>
      </c>
      <c r="C42" s="8" t="s">
        <v>71</v>
      </c>
      <c r="D42" s="8" t="s">
        <v>29</v>
      </c>
      <c r="E42" s="8" t="s">
        <v>30</v>
      </c>
      <c r="F42" s="9" t="s">
        <v>31</v>
      </c>
      <c r="G42" s="8" t="n">
        <v>1.24</v>
      </c>
      <c r="H42" s="10" t="n">
        <v>1946.32</v>
      </c>
      <c r="I42" s="11" t="n">
        <v>43</v>
      </c>
      <c r="J42" s="12" t="n">
        <v>0.41</v>
      </c>
      <c r="K42" s="13" t="n">
        <v>33.7</v>
      </c>
      <c r="L42" s="13" t="n">
        <v>7.6</v>
      </c>
      <c r="M42" s="13" t="n">
        <v>19.5</v>
      </c>
      <c r="N42" s="13" t="n">
        <v>20.7</v>
      </c>
      <c r="O42" s="14" t="n">
        <f aca="false">ROUND(L42/N42,2)</f>
        <v>0.37</v>
      </c>
    </row>
    <row r="43" customFormat="false" ht="15" hidden="false" customHeight="false" outlineLevel="0" collapsed="false">
      <c r="A43" s="7" t="s">
        <v>133</v>
      </c>
      <c r="B43" s="7" t="s">
        <v>134</v>
      </c>
      <c r="C43" s="8" t="s">
        <v>135</v>
      </c>
      <c r="D43" s="8" t="s">
        <v>29</v>
      </c>
      <c r="E43" s="8" t="s">
        <v>30</v>
      </c>
      <c r="F43" s="15" t="s">
        <v>35</v>
      </c>
      <c r="G43" s="8" t="n">
        <v>0.79</v>
      </c>
      <c r="H43" s="10" t="n">
        <v>1579.04</v>
      </c>
      <c r="I43" s="11" t="n">
        <v>30.7</v>
      </c>
      <c r="J43" s="12" t="n">
        <v>1.98</v>
      </c>
      <c r="K43" s="13" t="n">
        <v>21.7</v>
      </c>
      <c r="L43" s="13" t="n">
        <v>7.4</v>
      </c>
      <c r="M43" s="13" t="n">
        <v>15.2</v>
      </c>
      <c r="N43" s="13" t="n">
        <v>13.5</v>
      </c>
      <c r="O43" s="14" t="n">
        <f aca="false">ROUND(L43/N43,2)</f>
        <v>0.55</v>
      </c>
    </row>
    <row r="44" customFormat="false" ht="15" hidden="false" customHeight="false" outlineLevel="0" collapsed="false">
      <c r="A44" s="7" t="s">
        <v>136</v>
      </c>
      <c r="B44" s="7" t="s">
        <v>137</v>
      </c>
      <c r="C44" s="8" t="s">
        <v>138</v>
      </c>
      <c r="D44" s="8" t="s">
        <v>29</v>
      </c>
      <c r="E44" s="8" t="s">
        <v>30</v>
      </c>
      <c r="F44" s="15" t="s">
        <v>35</v>
      </c>
      <c r="G44" s="8" t="n">
        <v>0.83</v>
      </c>
      <c r="H44" s="10" t="n">
        <v>306.26</v>
      </c>
      <c r="I44" s="11" t="n">
        <v>33.5</v>
      </c>
      <c r="J44" s="12" t="n">
        <v>2.25</v>
      </c>
      <c r="K44" s="13" t="n">
        <v>16.4</v>
      </c>
      <c r="L44" s="13" t="n">
        <v>14.9</v>
      </c>
      <c r="M44" s="13" t="n">
        <v>13.4</v>
      </c>
      <c r="N44" s="13" t="n">
        <v>14.9</v>
      </c>
      <c r="O44" s="14" t="n">
        <f aca="false">ROUND(L44/N44,2)</f>
        <v>1</v>
      </c>
    </row>
    <row r="45" customFormat="false" ht="15" hidden="false" customHeight="false" outlineLevel="0" collapsed="false">
      <c r="A45" s="7" t="s">
        <v>139</v>
      </c>
      <c r="B45" s="7" t="s">
        <v>140</v>
      </c>
      <c r="C45" s="8" t="s">
        <v>138</v>
      </c>
      <c r="D45" s="8" t="s">
        <v>29</v>
      </c>
      <c r="E45" s="8" t="s">
        <v>30</v>
      </c>
      <c r="F45" s="15" t="s">
        <v>35</v>
      </c>
      <c r="G45" s="8" t="n">
        <v>0.93</v>
      </c>
      <c r="H45" s="10" t="n">
        <v>3706.85</v>
      </c>
      <c r="I45" s="11" t="n">
        <v>27.5</v>
      </c>
      <c r="J45" s="12" t="n">
        <v>2.59</v>
      </c>
      <c r="K45" s="13" t="n">
        <v>4.5</v>
      </c>
      <c r="L45" s="13" t="n">
        <v>16.8</v>
      </c>
      <c r="M45" s="13" t="n">
        <v>12.1</v>
      </c>
      <c r="N45" s="13" t="n">
        <v>17.3</v>
      </c>
      <c r="O45" s="14" t="n">
        <f aca="false">ROUND(L45/N45,2)</f>
        <v>0.97</v>
      </c>
    </row>
    <row r="46" customFormat="false" ht="15" hidden="false" customHeight="false" outlineLevel="0" collapsed="false">
      <c r="A46" s="7" t="s">
        <v>141</v>
      </c>
      <c r="B46" s="7" t="s">
        <v>142</v>
      </c>
      <c r="C46" s="8" t="s">
        <v>34</v>
      </c>
      <c r="D46" s="8" t="s">
        <v>29</v>
      </c>
      <c r="E46" s="8" t="s">
        <v>30</v>
      </c>
      <c r="F46" s="15" t="s">
        <v>35</v>
      </c>
      <c r="G46" s="8" t="n">
        <v>0.71</v>
      </c>
      <c r="H46" s="10" t="n">
        <v>1393.92</v>
      </c>
      <c r="I46" s="11" t="n">
        <v>17.5</v>
      </c>
      <c r="J46" s="12" t="n">
        <v>1.94</v>
      </c>
      <c r="K46" s="13" t="n">
        <v>20.8</v>
      </c>
      <c r="L46" s="13" t="n">
        <v>14.1</v>
      </c>
      <c r="M46" s="13" t="n">
        <v>15.2</v>
      </c>
      <c r="N46" s="13" t="n">
        <v>16.9</v>
      </c>
      <c r="O46" s="14" t="n">
        <f aca="false">ROUND(L46/N46,2)</f>
        <v>0.83</v>
      </c>
    </row>
    <row r="47" customFormat="false" ht="15" hidden="false" customHeight="false" outlineLevel="0" collapsed="false">
      <c r="A47" s="7" t="s">
        <v>143</v>
      </c>
      <c r="B47" s="7" t="s">
        <v>144</v>
      </c>
      <c r="C47" s="8" t="s">
        <v>145</v>
      </c>
      <c r="D47" s="8" t="s">
        <v>29</v>
      </c>
      <c r="E47" s="8" t="s">
        <v>30</v>
      </c>
      <c r="F47" s="15" t="s">
        <v>35</v>
      </c>
      <c r="G47" s="8" t="n">
        <v>0.71</v>
      </c>
      <c r="H47" s="10" t="n">
        <v>3384.78</v>
      </c>
      <c r="I47" s="11" t="n">
        <v>21.1</v>
      </c>
      <c r="J47" s="12" t="n">
        <v>1.37</v>
      </c>
      <c r="K47" s="13" t="n">
        <v>17.7</v>
      </c>
      <c r="L47" s="13" t="n">
        <v>13.3</v>
      </c>
      <c r="M47" s="13" t="n">
        <v>10.6</v>
      </c>
      <c r="N47" s="13" t="n">
        <v>15.5</v>
      </c>
      <c r="O47" s="14" t="n">
        <f aca="false">ROUND(L47/N47,2)</f>
        <v>0.86</v>
      </c>
    </row>
    <row r="48" customFormat="false" ht="15" hidden="false" customHeight="false" outlineLevel="0" collapsed="false">
      <c r="A48" s="7" t="s">
        <v>146</v>
      </c>
      <c r="B48" s="7" t="s">
        <v>147</v>
      </c>
      <c r="C48" s="8" t="s">
        <v>61</v>
      </c>
      <c r="D48" s="8" t="s">
        <v>29</v>
      </c>
      <c r="E48" s="8" t="s">
        <v>30</v>
      </c>
      <c r="F48" s="9" t="s">
        <v>31</v>
      </c>
      <c r="G48" s="8" t="n">
        <v>0.94</v>
      </c>
      <c r="H48" s="10" t="n">
        <v>1735.17</v>
      </c>
      <c r="I48" s="11" t="n">
        <v>41.7</v>
      </c>
      <c r="J48" s="12" t="n">
        <v>1.63</v>
      </c>
      <c r="K48" s="13" t="n">
        <v>-0.7</v>
      </c>
      <c r="L48" s="13" t="n">
        <v>5.7</v>
      </c>
      <c r="M48" s="13" t="n">
        <v>13.2</v>
      </c>
      <c r="N48" s="13" t="n">
        <v>24.3</v>
      </c>
      <c r="O48" s="14" t="n">
        <f aca="false">ROUND(L48/N48,2)</f>
        <v>0.23</v>
      </c>
    </row>
    <row r="49" customFormat="false" ht="15" hidden="false" customHeight="false" outlineLevel="0" collapsed="false">
      <c r="A49" s="7" t="s">
        <v>148</v>
      </c>
      <c r="B49" s="7" t="s">
        <v>149</v>
      </c>
      <c r="C49" s="8" t="s">
        <v>34</v>
      </c>
      <c r="D49" s="8" t="s">
        <v>29</v>
      </c>
      <c r="E49" s="8" t="s">
        <v>30</v>
      </c>
      <c r="F49" s="15" t="s">
        <v>35</v>
      </c>
      <c r="G49" s="8" t="n">
        <v>0.59</v>
      </c>
      <c r="H49" s="10" t="n">
        <v>3822.4</v>
      </c>
      <c r="I49" s="11" t="n">
        <v>19.7</v>
      </c>
      <c r="J49" s="12" t="n">
        <v>1.64</v>
      </c>
      <c r="K49" s="13" t="n">
        <v>18.1</v>
      </c>
      <c r="L49" s="13" t="n">
        <v>7.8</v>
      </c>
      <c r="M49" s="13" t="n">
        <v>8.4</v>
      </c>
      <c r="N49" s="13" t="n">
        <v>19.9</v>
      </c>
      <c r="O49" s="14" t="n">
        <f aca="false">ROUND(L49/N49,2)</f>
        <v>0.39</v>
      </c>
    </row>
    <row r="50" customFormat="false" ht="15" hidden="false" customHeight="false" outlineLevel="0" collapsed="false">
      <c r="A50" s="7" t="s">
        <v>150</v>
      </c>
      <c r="B50" s="7" t="s">
        <v>151</v>
      </c>
      <c r="C50" s="8" t="s">
        <v>45</v>
      </c>
      <c r="D50" s="8" t="s">
        <v>29</v>
      </c>
      <c r="E50" s="8" t="s">
        <v>30</v>
      </c>
      <c r="F50" s="9" t="s">
        <v>31</v>
      </c>
      <c r="G50" s="8" t="n">
        <v>1.19</v>
      </c>
      <c r="H50" s="10" t="n">
        <v>393.97</v>
      </c>
      <c r="I50" s="11" t="n">
        <v>25.7</v>
      </c>
      <c r="J50" s="12" t="n">
        <v>1.33</v>
      </c>
      <c r="K50" s="13" t="n">
        <v>0.4</v>
      </c>
      <c r="L50" s="13" t="n">
        <v>17.9</v>
      </c>
      <c r="M50" s="13" t="n">
        <v>12.9</v>
      </c>
      <c r="N50" s="13" t="n">
        <v>20.4</v>
      </c>
      <c r="O50" s="14" t="n">
        <f aca="false">ROUND(L50/N50,2)</f>
        <v>0.88</v>
      </c>
    </row>
    <row r="51" customFormat="false" ht="15" hidden="false" customHeight="false" outlineLevel="0" collapsed="false">
      <c r="A51" s="7" t="s">
        <v>152</v>
      </c>
      <c r="B51" s="7" t="s">
        <v>153</v>
      </c>
      <c r="C51" s="8" t="s">
        <v>102</v>
      </c>
      <c r="D51" s="8" t="s">
        <v>29</v>
      </c>
      <c r="E51" s="8" t="s">
        <v>30</v>
      </c>
      <c r="F51" s="9" t="s">
        <v>31</v>
      </c>
      <c r="G51" s="8" t="n">
        <v>1.13</v>
      </c>
      <c r="H51" s="10" t="n">
        <v>3140.41</v>
      </c>
      <c r="I51" s="11" t="n">
        <v>40.4</v>
      </c>
      <c r="J51" s="12" t="n">
        <v>1.79</v>
      </c>
      <c r="K51" s="13" t="n">
        <v>25.5</v>
      </c>
      <c r="L51" s="13" t="n">
        <v>8.4</v>
      </c>
      <c r="M51" s="13" t="n">
        <v>17.3</v>
      </c>
      <c r="N51" s="13" t="n">
        <v>25</v>
      </c>
      <c r="O51" s="14" t="n">
        <f aca="false">ROUND(L51/N51,2)</f>
        <v>0.34</v>
      </c>
    </row>
    <row r="52" customFormat="false" ht="15" hidden="false" customHeight="false" outlineLevel="0" collapsed="false">
      <c r="A52" s="7" t="s">
        <v>154</v>
      </c>
      <c r="B52" s="7" t="s">
        <v>155</v>
      </c>
      <c r="C52" s="8" t="s">
        <v>71</v>
      </c>
      <c r="D52" s="8" t="s">
        <v>29</v>
      </c>
      <c r="E52" s="8" t="s">
        <v>30</v>
      </c>
      <c r="F52" s="15" t="s">
        <v>35</v>
      </c>
      <c r="G52" s="8" t="n">
        <v>0.57</v>
      </c>
      <c r="H52" s="10" t="n">
        <v>1222.03</v>
      </c>
      <c r="I52" s="11" t="n">
        <v>32</v>
      </c>
      <c r="J52" s="12" t="n">
        <v>2.03</v>
      </c>
      <c r="K52" s="13" t="n">
        <v>18</v>
      </c>
      <c r="L52" s="13" t="n">
        <v>14</v>
      </c>
      <c r="M52" s="13" t="n">
        <v>15.9</v>
      </c>
      <c r="N52" s="13" t="n">
        <v>16.8</v>
      </c>
      <c r="O52" s="14" t="n">
        <f aca="false">ROUND(L52/N52,2)</f>
        <v>0.83</v>
      </c>
    </row>
    <row r="53" customFormat="false" ht="15" hidden="false" customHeight="false" outlineLevel="0" collapsed="false">
      <c r="A53" s="7" t="s">
        <v>156</v>
      </c>
      <c r="B53" s="7" t="s">
        <v>157</v>
      </c>
      <c r="C53" s="8" t="s">
        <v>158</v>
      </c>
      <c r="D53" s="8" t="s">
        <v>159</v>
      </c>
      <c r="E53" s="8" t="s">
        <v>160</v>
      </c>
      <c r="F53" s="16" t="s">
        <v>161</v>
      </c>
      <c r="G53" s="8" t="n">
        <v>1.47</v>
      </c>
      <c r="H53" s="10" t="n">
        <v>1809.41</v>
      </c>
      <c r="I53" s="11" t="n">
        <v>39.3</v>
      </c>
      <c r="J53" s="12" t="n">
        <v>1</v>
      </c>
      <c r="K53" s="13" t="n">
        <v>21.6</v>
      </c>
      <c r="L53" s="13" t="n">
        <v>30.9</v>
      </c>
      <c r="M53" s="13" t="n">
        <v>20.8</v>
      </c>
      <c r="N53" s="13" t="n">
        <v>33.6</v>
      </c>
      <c r="O53" s="14" t="n">
        <f aca="false">ROUND(L53/N53,2)</f>
        <v>0.92</v>
      </c>
    </row>
    <row r="54" customFormat="false" ht="15" hidden="false" customHeight="false" outlineLevel="0" collapsed="false">
      <c r="A54" s="7" t="s">
        <v>162</v>
      </c>
      <c r="B54" s="7" t="s">
        <v>163</v>
      </c>
      <c r="C54" s="8" t="s">
        <v>164</v>
      </c>
      <c r="D54" s="8" t="s">
        <v>159</v>
      </c>
      <c r="E54" s="8" t="s">
        <v>160</v>
      </c>
      <c r="F54" s="16" t="s">
        <v>161</v>
      </c>
      <c r="G54" s="8" t="n">
        <v>1.55</v>
      </c>
      <c r="H54" s="10" t="n">
        <v>2106.06</v>
      </c>
      <c r="I54" s="11" t="n">
        <v>25.2</v>
      </c>
      <c r="J54" s="12" t="n">
        <v>0.93</v>
      </c>
      <c r="K54" s="13" t="n">
        <v>16.2</v>
      </c>
      <c r="L54" s="13" t="n">
        <v>4.6</v>
      </c>
      <c r="M54" s="13" t="n">
        <v>12.3</v>
      </c>
      <c r="N54" s="13" t="n">
        <v>37.4</v>
      </c>
      <c r="O54" s="14" t="n">
        <f aca="false">ROUND(L54/N54,2)</f>
        <v>0.12</v>
      </c>
    </row>
    <row r="55" customFormat="false" ht="15" hidden="false" customHeight="false" outlineLevel="0" collapsed="false">
      <c r="A55" s="7" t="s">
        <v>165</v>
      </c>
      <c r="B55" s="7" t="s">
        <v>166</v>
      </c>
      <c r="C55" s="8" t="s">
        <v>167</v>
      </c>
      <c r="D55" s="8" t="s">
        <v>159</v>
      </c>
      <c r="E55" s="8" t="s">
        <v>160</v>
      </c>
      <c r="F55" s="9" t="s">
        <v>31</v>
      </c>
      <c r="G55" s="8" t="n">
        <v>0.96</v>
      </c>
      <c r="H55" s="10" t="n">
        <v>1221.03</v>
      </c>
      <c r="I55" s="11" t="n">
        <v>29.8</v>
      </c>
      <c r="J55" s="12" t="n">
        <v>0.45</v>
      </c>
      <c r="K55" s="13" t="n">
        <v>1.9</v>
      </c>
      <c r="L55" s="13" t="n">
        <v>17.9</v>
      </c>
      <c r="M55" s="13" t="n">
        <v>15.9</v>
      </c>
      <c r="N55" s="13" t="n">
        <v>18.6</v>
      </c>
      <c r="O55" s="14" t="n">
        <f aca="false">ROUND(L55/N55,2)</f>
        <v>0.96</v>
      </c>
    </row>
    <row r="56" customFormat="false" ht="15" hidden="false" customHeight="false" outlineLevel="0" collapsed="false">
      <c r="A56" s="7" t="s">
        <v>168</v>
      </c>
      <c r="B56" s="7" t="s">
        <v>169</v>
      </c>
      <c r="C56" s="8" t="s">
        <v>170</v>
      </c>
      <c r="D56" s="8" t="s">
        <v>159</v>
      </c>
      <c r="E56" s="8" t="s">
        <v>160</v>
      </c>
      <c r="F56" s="16" t="s">
        <v>161</v>
      </c>
      <c r="G56" s="8" t="n">
        <v>1.3</v>
      </c>
      <c r="H56" s="10" t="n">
        <v>1186.17</v>
      </c>
      <c r="I56" s="11" t="n">
        <v>11.9</v>
      </c>
      <c r="J56" s="12" t="n">
        <v>1</v>
      </c>
      <c r="K56" s="13" t="n">
        <v>8.1</v>
      </c>
      <c r="L56" s="13" t="n">
        <v>25.8</v>
      </c>
      <c r="M56" s="13" t="n">
        <v>26.5</v>
      </c>
      <c r="N56" s="13" t="n">
        <v>26.3</v>
      </c>
      <c r="O56" s="14" t="n">
        <f aca="false">ROUND(L56/N56,2)</f>
        <v>0.98</v>
      </c>
    </row>
    <row r="57" customFormat="false" ht="15" hidden="false" customHeight="false" outlineLevel="0" collapsed="false">
      <c r="A57" s="7" t="s">
        <v>171</v>
      </c>
      <c r="B57" s="7" t="s">
        <v>172</v>
      </c>
      <c r="C57" s="8" t="s">
        <v>173</v>
      </c>
      <c r="D57" s="8" t="s">
        <v>159</v>
      </c>
      <c r="E57" s="8" t="s">
        <v>160</v>
      </c>
      <c r="F57" s="16" t="s">
        <v>161</v>
      </c>
      <c r="G57" s="8" t="n">
        <v>1.39</v>
      </c>
      <c r="H57" s="10" t="n">
        <v>2359.14</v>
      </c>
      <c r="I57" s="11" t="n">
        <v>26.5</v>
      </c>
      <c r="J57" s="12" t="n">
        <v>0.47</v>
      </c>
      <c r="K57" s="13" t="n">
        <v>50.8</v>
      </c>
      <c r="L57" s="13" t="n">
        <v>28.4</v>
      </c>
      <c r="M57" s="13" t="n">
        <v>15.1</v>
      </c>
      <c r="N57" s="13" t="n">
        <v>37.8</v>
      </c>
      <c r="O57" s="14" t="n">
        <f aca="false">ROUND(L57/N57,2)</f>
        <v>0.75</v>
      </c>
    </row>
    <row r="58" customFormat="false" ht="15" hidden="false" customHeight="false" outlineLevel="0" collapsed="false">
      <c r="A58" s="7" t="s">
        <v>174</v>
      </c>
      <c r="B58" s="7" t="s">
        <v>175</v>
      </c>
      <c r="C58" s="8" t="s">
        <v>176</v>
      </c>
      <c r="D58" s="8" t="s">
        <v>159</v>
      </c>
      <c r="E58" s="8" t="s">
        <v>160</v>
      </c>
      <c r="F58" s="9" t="s">
        <v>31</v>
      </c>
      <c r="G58" s="8" t="n">
        <v>1.05</v>
      </c>
      <c r="H58" s="10" t="n">
        <v>1064.33</v>
      </c>
      <c r="I58" s="11" t="n">
        <v>28</v>
      </c>
      <c r="J58" s="12" t="n">
        <v>0.9</v>
      </c>
      <c r="K58" s="13" t="n">
        <v>20.8</v>
      </c>
      <c r="L58" s="13" t="n">
        <v>20</v>
      </c>
      <c r="M58" s="13" t="n">
        <v>16.1</v>
      </c>
      <c r="N58" s="13" t="n">
        <v>26.4</v>
      </c>
      <c r="O58" s="14" t="n">
        <f aca="false">ROUND(L58/N58,2)</f>
        <v>0.76</v>
      </c>
    </row>
    <row r="59" customFormat="false" ht="15" hidden="false" customHeight="false" outlineLevel="0" collapsed="false">
      <c r="A59" s="7" t="s">
        <v>177</v>
      </c>
      <c r="B59" s="7" t="s">
        <v>178</v>
      </c>
      <c r="C59" s="8" t="s">
        <v>179</v>
      </c>
      <c r="D59" s="8" t="s">
        <v>159</v>
      </c>
      <c r="E59" s="8" t="s">
        <v>160</v>
      </c>
      <c r="F59" s="9" t="s">
        <v>31</v>
      </c>
      <c r="G59" s="8" t="n">
        <v>1.24</v>
      </c>
      <c r="H59" s="10" t="n">
        <v>1939.31</v>
      </c>
      <c r="I59" s="11" t="n">
        <v>41.9</v>
      </c>
      <c r="J59" s="12" t="n">
        <v>1.27</v>
      </c>
      <c r="K59" s="13" t="n">
        <v>20.5</v>
      </c>
      <c r="L59" s="13" t="n">
        <v>5.7</v>
      </c>
      <c r="M59" s="13" t="n">
        <v>12</v>
      </c>
      <c r="N59" s="13" t="n">
        <v>26.7</v>
      </c>
      <c r="O59" s="14" t="n">
        <f aca="false">ROUND(L59/N59,2)</f>
        <v>0.21</v>
      </c>
    </row>
    <row r="60" customFormat="false" ht="15" hidden="false" customHeight="false" outlineLevel="0" collapsed="false">
      <c r="A60" s="7" t="s">
        <v>180</v>
      </c>
      <c r="B60" s="7" t="s">
        <v>181</v>
      </c>
      <c r="C60" s="8" t="s">
        <v>182</v>
      </c>
      <c r="D60" s="8" t="s">
        <v>159</v>
      </c>
      <c r="E60" s="8" t="s">
        <v>160</v>
      </c>
      <c r="F60" s="9" t="s">
        <v>31</v>
      </c>
      <c r="G60" s="8" t="n">
        <v>0.87</v>
      </c>
      <c r="H60" s="10" t="n">
        <v>1420</v>
      </c>
      <c r="I60" s="11" t="n">
        <v>19</v>
      </c>
      <c r="J60" s="12" t="n">
        <v>0.79</v>
      </c>
      <c r="K60" s="13" t="n">
        <v>24.7</v>
      </c>
      <c r="L60" s="13" t="n">
        <v>11.6</v>
      </c>
      <c r="M60" s="13" t="n">
        <v>16.5</v>
      </c>
      <c r="N60" s="13" t="n">
        <v>26.3</v>
      </c>
      <c r="O60" s="14" t="n">
        <f aca="false">ROUND(L60/N60,2)</f>
        <v>0.44</v>
      </c>
    </row>
    <row r="61" customFormat="false" ht="15" hidden="false" customHeight="false" outlineLevel="0" collapsed="false">
      <c r="A61" s="7" t="s">
        <v>183</v>
      </c>
      <c r="B61" s="7" t="s">
        <v>184</v>
      </c>
      <c r="C61" s="8" t="s">
        <v>182</v>
      </c>
      <c r="D61" s="8" t="s">
        <v>159</v>
      </c>
      <c r="E61" s="8" t="s">
        <v>160</v>
      </c>
      <c r="F61" s="16" t="s">
        <v>161</v>
      </c>
      <c r="G61" s="8" t="n">
        <v>1.6</v>
      </c>
      <c r="H61" s="10" t="n">
        <v>1196.95</v>
      </c>
      <c r="I61" s="11" t="n">
        <v>54.4</v>
      </c>
      <c r="J61" s="12" t="n">
        <v>0.06</v>
      </c>
      <c r="K61" s="13" t="n">
        <v>55.9</v>
      </c>
      <c r="L61" s="13" t="n">
        <v>4</v>
      </c>
      <c r="M61" s="13" t="n">
        <v>1.9</v>
      </c>
      <c r="N61" s="13" t="n">
        <v>41.3</v>
      </c>
      <c r="O61" s="14" t="n">
        <f aca="false">ROUND(L61/N61,2)</f>
        <v>0.1</v>
      </c>
    </row>
    <row r="62" customFormat="false" ht="15" hidden="false" customHeight="false" outlineLevel="0" collapsed="false">
      <c r="A62" s="7" t="s">
        <v>185</v>
      </c>
      <c r="B62" s="7" t="s">
        <v>186</v>
      </c>
      <c r="C62" s="8" t="s">
        <v>182</v>
      </c>
      <c r="D62" s="8" t="s">
        <v>159</v>
      </c>
      <c r="E62" s="8" t="s">
        <v>160</v>
      </c>
      <c r="F62" s="9" t="s">
        <v>31</v>
      </c>
      <c r="G62" s="8" t="n">
        <v>1.15</v>
      </c>
      <c r="H62" s="10" t="n">
        <v>3331.2</v>
      </c>
      <c r="I62" s="11" t="n">
        <v>18.6</v>
      </c>
      <c r="J62" s="12" t="n">
        <v>0.24</v>
      </c>
      <c r="K62" s="13" t="n">
        <v>-1.4</v>
      </c>
      <c r="L62" s="13" t="n">
        <v>6.5</v>
      </c>
      <c r="M62" s="13" t="n">
        <v>15.4</v>
      </c>
      <c r="N62" s="13" t="n">
        <v>23.6</v>
      </c>
      <c r="O62" s="14" t="n">
        <f aca="false">ROUND(L62/N62,2)</f>
        <v>0.28</v>
      </c>
    </row>
    <row r="63" customFormat="false" ht="15" hidden="false" customHeight="false" outlineLevel="0" collapsed="false">
      <c r="A63" s="7" t="s">
        <v>187</v>
      </c>
      <c r="B63" s="7" t="s">
        <v>188</v>
      </c>
      <c r="C63" s="8" t="s">
        <v>189</v>
      </c>
      <c r="D63" s="8" t="s">
        <v>159</v>
      </c>
      <c r="E63" s="8" t="s">
        <v>160</v>
      </c>
      <c r="F63" s="9" t="s">
        <v>31</v>
      </c>
      <c r="G63" s="8" t="n">
        <v>1.04</v>
      </c>
      <c r="H63" s="10" t="n">
        <v>1008.42</v>
      </c>
      <c r="I63" s="11" t="n">
        <v>24.2</v>
      </c>
      <c r="J63" s="12" t="n">
        <v>1.29</v>
      </c>
      <c r="K63" s="13" t="n">
        <v>33.4</v>
      </c>
      <c r="L63" s="13" t="n">
        <v>18.4</v>
      </c>
      <c r="M63" s="13" t="n">
        <v>16.9</v>
      </c>
      <c r="N63" s="13" t="n">
        <v>19.6</v>
      </c>
      <c r="O63" s="14" t="n">
        <f aca="false">ROUND(L63/N63,2)</f>
        <v>0.94</v>
      </c>
    </row>
    <row r="64" customFormat="false" ht="15" hidden="false" customHeight="false" outlineLevel="0" collapsed="false">
      <c r="A64" s="7" t="s">
        <v>190</v>
      </c>
      <c r="B64" s="7" t="s">
        <v>191</v>
      </c>
      <c r="C64" s="8" t="s">
        <v>61</v>
      </c>
      <c r="D64" s="8" t="s">
        <v>159</v>
      </c>
      <c r="E64" s="8" t="s">
        <v>160</v>
      </c>
      <c r="F64" s="16" t="s">
        <v>161</v>
      </c>
      <c r="G64" s="8" t="n">
        <v>1.16</v>
      </c>
      <c r="H64" s="10" t="n">
        <v>103.17</v>
      </c>
      <c r="I64" s="11" t="n">
        <v>27.3</v>
      </c>
      <c r="J64" s="12" t="n">
        <v>0.81</v>
      </c>
      <c r="K64" s="13" t="n">
        <v>56.4</v>
      </c>
      <c r="L64" s="13" t="n">
        <v>10.9</v>
      </c>
      <c r="M64" s="13" t="n">
        <v>20</v>
      </c>
      <c r="N64" s="13" t="n">
        <v>27.2</v>
      </c>
      <c r="O64" s="14" t="n">
        <f aca="false">ROUND(L64/N64,2)</f>
        <v>0.4</v>
      </c>
    </row>
    <row r="65" customFormat="false" ht="15" hidden="false" customHeight="false" outlineLevel="0" collapsed="false">
      <c r="A65" s="7" t="s">
        <v>192</v>
      </c>
      <c r="B65" s="7" t="s">
        <v>193</v>
      </c>
      <c r="C65" s="8" t="s">
        <v>194</v>
      </c>
      <c r="D65" s="8" t="s">
        <v>159</v>
      </c>
      <c r="E65" s="8" t="s">
        <v>160</v>
      </c>
      <c r="F65" s="9" t="s">
        <v>31</v>
      </c>
      <c r="G65" s="8" t="n">
        <v>0.89</v>
      </c>
      <c r="H65" s="10" t="n">
        <v>2737.81</v>
      </c>
      <c r="I65" s="11" t="n">
        <v>40.1</v>
      </c>
      <c r="J65" s="12" t="n">
        <v>1.28</v>
      </c>
      <c r="K65" s="13" t="n">
        <v>-2.8</v>
      </c>
      <c r="L65" s="13" t="n">
        <v>23.7</v>
      </c>
      <c r="M65" s="13" t="n">
        <v>17</v>
      </c>
      <c r="N65" s="13" t="n">
        <v>21.5</v>
      </c>
      <c r="O65" s="14" t="n">
        <f aca="false">ROUND(L65/N65,2)</f>
        <v>1.1</v>
      </c>
    </row>
    <row r="66" customFormat="false" ht="15" hidden="false" customHeight="false" outlineLevel="0" collapsed="false">
      <c r="A66" s="7" t="s">
        <v>195</v>
      </c>
      <c r="B66" s="7" t="s">
        <v>196</v>
      </c>
      <c r="C66" s="8" t="s">
        <v>197</v>
      </c>
      <c r="D66" s="8" t="s">
        <v>159</v>
      </c>
      <c r="E66" s="8" t="s">
        <v>160</v>
      </c>
      <c r="F66" s="16" t="s">
        <v>161</v>
      </c>
      <c r="G66" s="8" t="n">
        <v>1.5</v>
      </c>
      <c r="H66" s="10" t="n">
        <v>209.63</v>
      </c>
      <c r="I66" s="11" t="n">
        <v>48.1</v>
      </c>
      <c r="J66" s="12" t="n">
        <v>0.02</v>
      </c>
      <c r="K66" s="13" t="n">
        <v>10.7</v>
      </c>
      <c r="L66" s="13" t="n">
        <v>14.6</v>
      </c>
      <c r="M66" s="13" t="n">
        <v>12.1</v>
      </c>
      <c r="N66" s="13" t="n">
        <v>31.8</v>
      </c>
      <c r="O66" s="14" t="n">
        <f aca="false">ROUND(L66/N66,2)</f>
        <v>0.46</v>
      </c>
    </row>
    <row r="67" customFormat="false" ht="15" hidden="false" customHeight="false" outlineLevel="0" collapsed="false">
      <c r="A67" s="7" t="s">
        <v>198</v>
      </c>
      <c r="B67" s="7" t="s">
        <v>199</v>
      </c>
      <c r="C67" s="8" t="s">
        <v>200</v>
      </c>
      <c r="D67" s="8" t="s">
        <v>159</v>
      </c>
      <c r="E67" s="8" t="s">
        <v>160</v>
      </c>
      <c r="F67" s="16" t="s">
        <v>161</v>
      </c>
      <c r="G67" s="8" t="n">
        <v>1.52</v>
      </c>
      <c r="H67" s="10" t="n">
        <v>1111.3</v>
      </c>
      <c r="I67" s="11" t="n">
        <v>53.5</v>
      </c>
      <c r="J67" s="12" t="n">
        <v>1.16</v>
      </c>
      <c r="K67" s="13" t="n">
        <v>-2</v>
      </c>
      <c r="L67" s="13" t="n">
        <v>27.3</v>
      </c>
      <c r="M67" s="13" t="n">
        <v>15.1</v>
      </c>
      <c r="N67" s="13" t="n">
        <v>33.7</v>
      </c>
      <c r="O67" s="14" t="n">
        <f aca="false">ROUND(L67/N67,2)</f>
        <v>0.81</v>
      </c>
    </row>
    <row r="68" customFormat="false" ht="15" hidden="false" customHeight="false" outlineLevel="0" collapsed="false">
      <c r="A68" s="7" t="s">
        <v>201</v>
      </c>
      <c r="B68" s="7" t="s">
        <v>202</v>
      </c>
      <c r="C68" s="8" t="s">
        <v>203</v>
      </c>
      <c r="D68" s="8" t="s">
        <v>159</v>
      </c>
      <c r="E68" s="8" t="s">
        <v>160</v>
      </c>
      <c r="F68" s="16" t="s">
        <v>161</v>
      </c>
      <c r="G68" s="8" t="n">
        <v>1.6</v>
      </c>
      <c r="H68" s="10" t="n">
        <v>1497.49</v>
      </c>
      <c r="I68" s="11" t="n">
        <v>28</v>
      </c>
      <c r="J68" s="12" t="n">
        <v>0.29</v>
      </c>
      <c r="K68" s="13" t="n">
        <v>54.4</v>
      </c>
      <c r="L68" s="13" t="n">
        <v>6.2</v>
      </c>
      <c r="M68" s="13" t="n">
        <v>12.6</v>
      </c>
      <c r="N68" s="13" t="n">
        <v>38</v>
      </c>
      <c r="O68" s="14" t="n">
        <f aca="false">ROUND(L68/N68,2)</f>
        <v>0.16</v>
      </c>
    </row>
    <row r="69" customFormat="false" ht="15" hidden="false" customHeight="false" outlineLevel="0" collapsed="false">
      <c r="A69" s="7" t="s">
        <v>204</v>
      </c>
      <c r="B69" s="7" t="s">
        <v>205</v>
      </c>
      <c r="C69" s="8" t="s">
        <v>206</v>
      </c>
      <c r="D69" s="8" t="s">
        <v>159</v>
      </c>
      <c r="E69" s="8" t="s">
        <v>160</v>
      </c>
      <c r="F69" s="16" t="s">
        <v>161</v>
      </c>
      <c r="G69" s="8" t="n">
        <v>1.3</v>
      </c>
      <c r="H69" s="10" t="n">
        <v>1255.99</v>
      </c>
      <c r="I69" s="11" t="n">
        <v>28.2</v>
      </c>
      <c r="J69" s="12" t="n">
        <v>0.59</v>
      </c>
      <c r="K69" s="13" t="n">
        <v>5.2</v>
      </c>
      <c r="L69" s="13" t="n">
        <v>5.3</v>
      </c>
      <c r="M69" s="13" t="n">
        <v>7.8</v>
      </c>
      <c r="N69" s="13" t="n">
        <v>35.5</v>
      </c>
      <c r="O69" s="14" t="n">
        <f aca="false">ROUND(L69/N69,2)</f>
        <v>0.15</v>
      </c>
    </row>
    <row r="70" customFormat="false" ht="15" hidden="false" customHeight="false" outlineLevel="0" collapsed="false">
      <c r="A70" s="7" t="s">
        <v>207</v>
      </c>
      <c r="B70" s="7" t="s">
        <v>208</v>
      </c>
      <c r="C70" s="8" t="s">
        <v>34</v>
      </c>
      <c r="D70" s="8" t="s">
        <v>159</v>
      </c>
      <c r="E70" s="8" t="s">
        <v>160</v>
      </c>
      <c r="F70" s="16" t="s">
        <v>161</v>
      </c>
      <c r="G70" s="8" t="n">
        <v>1.43</v>
      </c>
      <c r="H70" s="10" t="n">
        <v>1310.9</v>
      </c>
      <c r="I70" s="11" t="n">
        <v>19.8</v>
      </c>
      <c r="J70" s="12" t="n">
        <v>0.29</v>
      </c>
      <c r="K70" s="13" t="n">
        <v>9.5</v>
      </c>
      <c r="L70" s="13" t="n">
        <v>17.2</v>
      </c>
      <c r="M70" s="13" t="n">
        <v>6.7</v>
      </c>
      <c r="N70" s="13" t="n">
        <v>33.6</v>
      </c>
      <c r="O70" s="14" t="n">
        <f aca="false">ROUND(L70/N70,2)</f>
        <v>0.51</v>
      </c>
    </row>
    <row r="71" customFormat="false" ht="15" hidden="false" customHeight="false" outlineLevel="0" collapsed="false">
      <c r="A71" s="7" t="s">
        <v>209</v>
      </c>
      <c r="B71" s="7" t="s">
        <v>210</v>
      </c>
      <c r="C71" s="8" t="s">
        <v>211</v>
      </c>
      <c r="D71" s="8" t="s">
        <v>159</v>
      </c>
      <c r="E71" s="8" t="s">
        <v>160</v>
      </c>
      <c r="F71" s="16" t="s">
        <v>161</v>
      </c>
      <c r="G71" s="8" t="n">
        <v>1.37</v>
      </c>
      <c r="H71" s="10" t="n">
        <v>82.42</v>
      </c>
      <c r="I71" s="11" t="n">
        <v>26.2</v>
      </c>
      <c r="J71" s="12" t="n">
        <v>0.49</v>
      </c>
      <c r="K71" s="13" t="n">
        <v>-4.3</v>
      </c>
      <c r="L71" s="13" t="n">
        <v>21.6</v>
      </c>
      <c r="M71" s="13" t="n">
        <v>10.3</v>
      </c>
      <c r="N71" s="13" t="n">
        <v>34.9</v>
      </c>
      <c r="O71" s="14" t="n">
        <f aca="false">ROUND(L71/N71,2)</f>
        <v>0.62</v>
      </c>
    </row>
    <row r="72" customFormat="false" ht="15" hidden="false" customHeight="false" outlineLevel="0" collapsed="false">
      <c r="A72" s="7" t="s">
        <v>212</v>
      </c>
      <c r="B72" s="7" t="s">
        <v>213</v>
      </c>
      <c r="C72" s="8" t="s">
        <v>214</v>
      </c>
      <c r="D72" s="8" t="s">
        <v>159</v>
      </c>
      <c r="E72" s="8" t="s">
        <v>160</v>
      </c>
      <c r="F72" s="16" t="s">
        <v>161</v>
      </c>
      <c r="G72" s="8" t="n">
        <v>1.36</v>
      </c>
      <c r="H72" s="10" t="n">
        <v>1875</v>
      </c>
      <c r="I72" s="11" t="n">
        <v>28.5</v>
      </c>
      <c r="J72" s="12" t="n">
        <v>0.84</v>
      </c>
      <c r="K72" s="13" t="n">
        <v>-2</v>
      </c>
      <c r="L72" s="13" t="n">
        <v>5.1</v>
      </c>
      <c r="M72" s="13" t="n">
        <v>3.4</v>
      </c>
      <c r="N72" s="13" t="n">
        <v>29.1</v>
      </c>
      <c r="O72" s="14" t="n">
        <f aca="false">ROUND(L72/N72,2)</f>
        <v>0.18</v>
      </c>
    </row>
    <row r="73" customFormat="false" ht="15" hidden="false" customHeight="false" outlineLevel="0" collapsed="false">
      <c r="A73" s="7" t="s">
        <v>215</v>
      </c>
      <c r="B73" s="7" t="s">
        <v>216</v>
      </c>
      <c r="C73" s="8" t="s">
        <v>217</v>
      </c>
      <c r="D73" s="8" t="s">
        <v>218</v>
      </c>
      <c r="E73" s="8" t="s">
        <v>219</v>
      </c>
      <c r="F73" s="17" t="s">
        <v>220</v>
      </c>
      <c r="G73" s="8" t="n">
        <v>1.52</v>
      </c>
      <c r="H73" s="10" t="n">
        <v>485.99</v>
      </c>
      <c r="I73" s="11" t="n">
        <v>92.7</v>
      </c>
      <c r="J73" s="12" t="n">
        <v>0.09</v>
      </c>
      <c r="K73" s="13" t="n">
        <v>-19.3</v>
      </c>
      <c r="L73" s="13" t="n">
        <v>13.7</v>
      </c>
      <c r="M73" s="13" t="n">
        <v>26.2</v>
      </c>
      <c r="N73" s="13" t="n">
        <v>64.4</v>
      </c>
      <c r="O73" s="14" t="n">
        <f aca="false">ROUND(L73/N73,2)</f>
        <v>0.21</v>
      </c>
    </row>
    <row r="74" customFormat="false" ht="15" hidden="false" customHeight="false" outlineLevel="0" collapsed="false">
      <c r="A74" s="7" t="s">
        <v>221</v>
      </c>
      <c r="B74" s="7" t="s">
        <v>222</v>
      </c>
      <c r="C74" s="8" t="s">
        <v>223</v>
      </c>
      <c r="D74" s="8" t="s">
        <v>218</v>
      </c>
      <c r="E74" s="8" t="s">
        <v>219</v>
      </c>
      <c r="F74" s="17" t="s">
        <v>220</v>
      </c>
      <c r="G74" s="8" t="n">
        <v>1.92</v>
      </c>
      <c r="H74" s="10" t="n">
        <v>260.43</v>
      </c>
      <c r="I74" s="11" t="n">
        <v>16.6</v>
      </c>
      <c r="J74" s="12" t="n">
        <v>0.1</v>
      </c>
      <c r="K74" s="13" t="n">
        <v>-17.5</v>
      </c>
      <c r="L74" s="13" t="n">
        <v>-10.6</v>
      </c>
      <c r="M74" s="13" t="n">
        <v>-9.3</v>
      </c>
      <c r="N74" s="13" t="n">
        <v>52.4</v>
      </c>
      <c r="O74" s="14" t="n">
        <f aca="false">ROUND(L74/N74,2)</f>
        <v>-0.2</v>
      </c>
    </row>
    <row r="75" customFormat="false" ht="15" hidden="false" customHeight="false" outlineLevel="0" collapsed="false">
      <c r="A75" s="7" t="s">
        <v>224</v>
      </c>
      <c r="B75" s="7" t="s">
        <v>225</v>
      </c>
      <c r="C75" s="8" t="s">
        <v>226</v>
      </c>
      <c r="D75" s="8" t="s">
        <v>218</v>
      </c>
      <c r="E75" s="8" t="s">
        <v>219</v>
      </c>
      <c r="F75" s="17" t="s">
        <v>220</v>
      </c>
      <c r="G75" s="8" t="n">
        <v>1.67</v>
      </c>
      <c r="H75" s="10" t="n">
        <v>877.07</v>
      </c>
      <c r="I75" s="11" t="n">
        <v>68.6</v>
      </c>
      <c r="J75" s="12" t="n">
        <v>0.35</v>
      </c>
      <c r="K75" s="13" t="n">
        <v>-34.2</v>
      </c>
      <c r="L75" s="13" t="n">
        <v>44.5</v>
      </c>
      <c r="M75" s="13" t="n">
        <v>14.5</v>
      </c>
      <c r="N75" s="13" t="n">
        <v>61.6</v>
      </c>
      <c r="O75" s="14" t="n">
        <f aca="false">ROUND(L75/N75,2)</f>
        <v>0.72</v>
      </c>
    </row>
    <row r="76" customFormat="false" ht="15" hidden="false" customHeight="false" outlineLevel="0" collapsed="false">
      <c r="A76" s="7" t="s">
        <v>227</v>
      </c>
      <c r="B76" s="7" t="s">
        <v>228</v>
      </c>
      <c r="C76" s="8" t="s">
        <v>226</v>
      </c>
      <c r="D76" s="8" t="s">
        <v>218</v>
      </c>
      <c r="E76" s="8" t="s">
        <v>219</v>
      </c>
      <c r="F76" s="17" t="s">
        <v>220</v>
      </c>
      <c r="G76" s="8" t="n">
        <v>1.97</v>
      </c>
      <c r="H76" s="10" t="n">
        <v>426.7</v>
      </c>
      <c r="I76" s="11" t="n">
        <v>55.7</v>
      </c>
      <c r="J76" s="12" t="n">
        <v>0.09</v>
      </c>
      <c r="K76" s="13" t="n">
        <v>-46.5</v>
      </c>
      <c r="L76" s="13" t="n">
        <v>50.3</v>
      </c>
      <c r="M76" s="13" t="n">
        <v>13.9</v>
      </c>
      <c r="N76" s="13" t="n">
        <v>60.2</v>
      </c>
      <c r="O76" s="14" t="n">
        <f aca="false">ROUND(L76/N76,2)</f>
        <v>0.84</v>
      </c>
    </row>
    <row r="77" customFormat="false" ht="15" hidden="false" customHeight="false" outlineLevel="0" collapsed="false">
      <c r="A77" s="7" t="s">
        <v>229</v>
      </c>
      <c r="B77" s="7" t="s">
        <v>230</v>
      </c>
      <c r="C77" s="8" t="s">
        <v>231</v>
      </c>
      <c r="D77" s="8" t="s">
        <v>218</v>
      </c>
      <c r="E77" s="8" t="s">
        <v>219</v>
      </c>
      <c r="F77" s="17" t="s">
        <v>220</v>
      </c>
      <c r="G77" s="8" t="n">
        <v>1.8</v>
      </c>
      <c r="H77" s="10" t="n">
        <v>74.08</v>
      </c>
      <c r="I77" s="11" t="n">
        <v>77.4</v>
      </c>
      <c r="J77" s="12" t="n">
        <v>0.03</v>
      </c>
      <c r="K77" s="13" t="n">
        <v>-30.4</v>
      </c>
      <c r="L77" s="13" t="n">
        <v>20</v>
      </c>
      <c r="M77" s="13" t="n">
        <v>5.2</v>
      </c>
      <c r="N77" s="13" t="n">
        <v>64.8</v>
      </c>
      <c r="O77" s="14" t="n">
        <f aca="false">ROUND(L77/N77,2)</f>
        <v>0.31</v>
      </c>
    </row>
    <row r="78" customFormat="false" ht="15" hidden="false" customHeight="false" outlineLevel="0" collapsed="false">
      <c r="A78" s="7" t="s">
        <v>232</v>
      </c>
      <c r="B78" s="7" t="s">
        <v>233</v>
      </c>
      <c r="C78" s="8" t="s">
        <v>234</v>
      </c>
      <c r="D78" s="8" t="s">
        <v>218</v>
      </c>
      <c r="E78" s="8" t="s">
        <v>219</v>
      </c>
      <c r="F78" s="17" t="s">
        <v>220</v>
      </c>
      <c r="G78" s="8" t="n">
        <v>1.52</v>
      </c>
      <c r="H78" s="10" t="n">
        <v>689.88</v>
      </c>
      <c r="I78" s="11" t="n">
        <v>74.7</v>
      </c>
      <c r="J78" s="12" t="n">
        <v>0.4</v>
      </c>
      <c r="K78" s="13" t="n">
        <v>-17.8</v>
      </c>
      <c r="L78" s="13" t="n">
        <v>16.8</v>
      </c>
      <c r="M78" s="13" t="n">
        <v>12.5</v>
      </c>
      <c r="N78" s="13" t="n">
        <v>50</v>
      </c>
      <c r="O78" s="14" t="n">
        <f aca="false">ROUND(L78/N78,2)</f>
        <v>0.34</v>
      </c>
    </row>
    <row r="79" customFormat="false" ht="15" hidden="false" customHeight="false" outlineLevel="0" collapsed="false">
      <c r="A79" s="7" t="s">
        <v>235</v>
      </c>
      <c r="B79" s="7" t="s">
        <v>236</v>
      </c>
      <c r="C79" s="8" t="s">
        <v>237</v>
      </c>
      <c r="D79" s="8" t="s">
        <v>218</v>
      </c>
      <c r="E79" s="8" t="s">
        <v>219</v>
      </c>
      <c r="F79" s="17" t="s">
        <v>220</v>
      </c>
      <c r="G79" s="8" t="n">
        <v>2.26</v>
      </c>
      <c r="H79" s="10" t="n">
        <v>891.11</v>
      </c>
      <c r="I79" s="11" t="n">
        <v>40.1</v>
      </c>
      <c r="J79" s="12" t="n">
        <v>0.31</v>
      </c>
      <c r="K79" s="13" t="n">
        <v>45.6</v>
      </c>
      <c r="L79" s="13" t="n">
        <v>34.2</v>
      </c>
      <c r="M79" s="13" t="n">
        <v>37.4</v>
      </c>
      <c r="N79" s="13" t="n">
        <v>43.6</v>
      </c>
      <c r="O79" s="14" t="n">
        <f aca="false">ROUND(L79/N79,2)</f>
        <v>0.78</v>
      </c>
    </row>
    <row r="80" customFormat="false" ht="15" hidden="false" customHeight="false" outlineLevel="0" collapsed="false">
      <c r="A80" s="7" t="s">
        <v>238</v>
      </c>
      <c r="B80" s="7" t="s">
        <v>239</v>
      </c>
      <c r="C80" s="8" t="s">
        <v>240</v>
      </c>
      <c r="D80" s="8" t="s">
        <v>218</v>
      </c>
      <c r="E80" s="8" t="s">
        <v>219</v>
      </c>
      <c r="F80" s="17" t="s">
        <v>220</v>
      </c>
      <c r="G80" s="8" t="n">
        <v>1.61</v>
      </c>
      <c r="H80" s="10" t="n">
        <v>597.1</v>
      </c>
      <c r="I80" s="11" t="n">
        <v>23.1</v>
      </c>
      <c r="J80" s="12" t="n">
        <v>0.09</v>
      </c>
      <c r="K80" s="13" t="n">
        <v>-42.6</v>
      </c>
      <c r="L80" s="13" t="n">
        <v>-24.8</v>
      </c>
      <c r="M80" s="13" t="n">
        <v>12.5</v>
      </c>
      <c r="N80" s="13" t="n">
        <v>54</v>
      </c>
      <c r="O80" s="14" t="n">
        <f aca="false">ROUND(L80/N80,2)</f>
        <v>-0.46</v>
      </c>
    </row>
    <row r="81" customFormat="false" ht="15" hidden="false" customHeight="false" outlineLevel="0" collapsed="false">
      <c r="A81" s="7" t="s">
        <v>241</v>
      </c>
      <c r="B81" s="7" t="s">
        <v>242</v>
      </c>
      <c r="C81" s="8" t="s">
        <v>243</v>
      </c>
      <c r="D81" s="8" t="s">
        <v>218</v>
      </c>
      <c r="E81" s="8" t="s">
        <v>219</v>
      </c>
      <c r="F81" s="17" t="s">
        <v>220</v>
      </c>
      <c r="G81" s="8" t="n">
        <v>1.69</v>
      </c>
      <c r="H81" s="10" t="n">
        <v>214.48</v>
      </c>
      <c r="I81" s="11" t="n">
        <v>86.3</v>
      </c>
      <c r="J81" s="12" t="n">
        <v>0.35</v>
      </c>
      <c r="K81" s="13" t="n">
        <v>19.9</v>
      </c>
      <c r="L81" s="13" t="n">
        <v>30</v>
      </c>
      <c r="M81" s="13" t="n">
        <v>36.2</v>
      </c>
      <c r="N81" s="13" t="n">
        <v>59.3</v>
      </c>
      <c r="O81" s="14" t="n">
        <f aca="false">ROUND(L81/N81,2)</f>
        <v>0.51</v>
      </c>
    </row>
    <row r="82" customFormat="false" ht="15" hidden="false" customHeight="false" outlineLevel="0" collapsed="false">
      <c r="A82" s="7" t="s">
        <v>244</v>
      </c>
      <c r="B82" s="7" t="s">
        <v>245</v>
      </c>
      <c r="C82" s="8" t="s">
        <v>246</v>
      </c>
      <c r="D82" s="8" t="s">
        <v>218</v>
      </c>
      <c r="E82" s="8" t="s">
        <v>219</v>
      </c>
      <c r="F82" s="17" t="s">
        <v>220</v>
      </c>
      <c r="G82" s="8" t="n">
        <v>2.03</v>
      </c>
      <c r="H82" s="10" t="n">
        <v>597.78</v>
      </c>
      <c r="I82" s="11" t="n">
        <v>112.4</v>
      </c>
      <c r="J82" s="12" t="n">
        <v>0.21</v>
      </c>
      <c r="K82" s="13" t="n">
        <v>34.9</v>
      </c>
      <c r="L82" s="13" t="n">
        <v>26.8</v>
      </c>
      <c r="M82" s="13" t="n">
        <v>35.4</v>
      </c>
      <c r="N82" s="13" t="n">
        <v>60.3</v>
      </c>
      <c r="O82" s="14" t="n">
        <f aca="false">ROUND(L82/N82,2)</f>
        <v>0.44</v>
      </c>
    </row>
    <row r="83" customFormat="false" ht="15" hidden="false" customHeight="false" outlineLevel="0" collapsed="false">
      <c r="A83" s="7" t="s">
        <v>247</v>
      </c>
      <c r="B83" s="7" t="s">
        <v>248</v>
      </c>
      <c r="C83" s="8" t="s">
        <v>249</v>
      </c>
      <c r="D83" s="8" t="s">
        <v>218</v>
      </c>
      <c r="E83" s="8" t="s">
        <v>219</v>
      </c>
      <c r="F83" s="17" t="s">
        <v>220</v>
      </c>
      <c r="G83" s="8" t="n">
        <v>1.47</v>
      </c>
      <c r="H83" s="10" t="n">
        <v>156</v>
      </c>
      <c r="I83" s="11" t="n">
        <v>40.4</v>
      </c>
      <c r="J83" s="12" t="n">
        <v>0.37</v>
      </c>
      <c r="K83" s="13" t="n">
        <v>38.9</v>
      </c>
      <c r="L83" s="13" t="n">
        <v>-1.9</v>
      </c>
      <c r="M83" s="13" t="n">
        <v>-3.8</v>
      </c>
      <c r="N83" s="13" t="n">
        <v>56.6</v>
      </c>
      <c r="O83" s="14" t="n">
        <f aca="false">ROUND(L83/N83,2)</f>
        <v>-0.03</v>
      </c>
    </row>
    <row r="84" customFormat="false" ht="15" hidden="false" customHeight="false" outlineLevel="0" collapsed="false">
      <c r="A84" s="7" t="s">
        <v>250</v>
      </c>
      <c r="B84" s="7" t="s">
        <v>251</v>
      </c>
      <c r="C84" s="8" t="s">
        <v>252</v>
      </c>
      <c r="D84" s="8" t="s">
        <v>218</v>
      </c>
      <c r="E84" s="8" t="s">
        <v>219</v>
      </c>
      <c r="F84" s="17" t="s">
        <v>220</v>
      </c>
      <c r="G84" s="8" t="n">
        <v>2.1</v>
      </c>
      <c r="H84" s="10" t="n">
        <v>848.87</v>
      </c>
      <c r="I84" s="11" t="n">
        <v>62.6</v>
      </c>
      <c r="J84" s="12" t="n">
        <v>0.25</v>
      </c>
      <c r="K84" s="13" t="n">
        <v>-41.7</v>
      </c>
      <c r="L84" s="13" t="n">
        <v>-21.8</v>
      </c>
      <c r="M84" s="13" t="n">
        <v>11.6</v>
      </c>
      <c r="N84" s="13" t="n">
        <v>46.7</v>
      </c>
      <c r="O84" s="14" t="n">
        <f aca="false">ROUND(L84/N84,2)</f>
        <v>-0.47</v>
      </c>
    </row>
    <row r="85" customFormat="false" ht="15" hidden="false" customHeight="false" outlineLevel="0" collapsed="false">
      <c r="A85" s="7" t="s">
        <v>253</v>
      </c>
      <c r="B85" s="7" t="s">
        <v>254</v>
      </c>
      <c r="C85" s="8" t="s">
        <v>255</v>
      </c>
      <c r="D85" s="8" t="s">
        <v>218</v>
      </c>
      <c r="E85" s="8" t="s">
        <v>219</v>
      </c>
      <c r="F85" s="17" t="s">
        <v>220</v>
      </c>
      <c r="G85" s="8" t="n">
        <v>1.65</v>
      </c>
      <c r="H85" s="10" t="n">
        <v>89.46</v>
      </c>
      <c r="I85" s="11" t="n">
        <v>115.6</v>
      </c>
      <c r="J85" s="12" t="n">
        <v>0.42</v>
      </c>
      <c r="K85" s="13" t="n">
        <v>39.9</v>
      </c>
      <c r="L85" s="13" t="n">
        <v>51.1</v>
      </c>
      <c r="M85" s="13" t="n">
        <v>40</v>
      </c>
      <c r="N85" s="13" t="n">
        <v>56.2</v>
      </c>
      <c r="O85" s="14" t="n">
        <f aca="false">ROUND(L85/N85,2)</f>
        <v>0.91</v>
      </c>
    </row>
    <row r="86" customFormat="false" ht="15" hidden="false" customHeight="false" outlineLevel="0" collapsed="false">
      <c r="A86" s="7" t="s">
        <v>256</v>
      </c>
      <c r="B86" s="7" t="s">
        <v>257</v>
      </c>
      <c r="C86" s="8" t="s">
        <v>258</v>
      </c>
      <c r="D86" s="8" t="s">
        <v>218</v>
      </c>
      <c r="E86" s="8" t="s">
        <v>219</v>
      </c>
      <c r="F86" s="17" t="s">
        <v>220</v>
      </c>
      <c r="G86" s="8" t="n">
        <v>1.67</v>
      </c>
      <c r="H86" s="10" t="n">
        <v>43.89</v>
      </c>
      <c r="I86" s="11" t="n">
        <v>92</v>
      </c>
      <c r="J86" s="12" t="n">
        <v>0.24</v>
      </c>
      <c r="K86" s="13" t="n">
        <v>52.5</v>
      </c>
      <c r="L86" s="13" t="n">
        <v>48.3</v>
      </c>
      <c r="M86" s="13" t="n">
        <v>-0.9</v>
      </c>
      <c r="N86" s="13" t="n">
        <v>53.8</v>
      </c>
      <c r="O86" s="14" t="n">
        <f aca="false">ROUND(L86/N86,2)</f>
        <v>0.9</v>
      </c>
    </row>
    <row r="87" customFormat="false" ht="15" hidden="false" customHeight="false" outlineLevel="0" collapsed="false">
      <c r="A87" s="7" t="s">
        <v>259</v>
      </c>
      <c r="B87" s="7" t="s">
        <v>260</v>
      </c>
      <c r="C87" s="8" t="s">
        <v>261</v>
      </c>
      <c r="D87" s="8" t="s">
        <v>218</v>
      </c>
      <c r="E87" s="8" t="s">
        <v>219</v>
      </c>
      <c r="F87" s="17" t="s">
        <v>220</v>
      </c>
      <c r="G87" s="8" t="n">
        <v>2.03</v>
      </c>
      <c r="H87" s="10" t="n">
        <v>446.62</v>
      </c>
      <c r="I87" s="11" t="n">
        <v>15.5</v>
      </c>
      <c r="J87" s="12" t="n">
        <v>0.17</v>
      </c>
      <c r="K87" s="13" t="n">
        <v>0</v>
      </c>
      <c r="L87" s="13" t="n">
        <v>28.6</v>
      </c>
      <c r="M87" s="13" t="n">
        <v>32.9</v>
      </c>
      <c r="N87" s="13" t="n">
        <v>46.9</v>
      </c>
      <c r="O87" s="14" t="n">
        <f aca="false">ROUND(L87/N87,2)</f>
        <v>0.61</v>
      </c>
    </row>
    <row r="89" customFormat="false" ht="15" hidden="false" customHeight="false" outlineLevel="0" collapsed="false">
      <c r="A89" s="18" t="s">
        <v>262</v>
      </c>
      <c r="B89" s="18"/>
      <c r="C89" s="18"/>
      <c r="D89" s="18"/>
      <c r="E89" s="18"/>
      <c r="F89" s="18"/>
      <c r="G89" s="18"/>
      <c r="H89" s="18"/>
    </row>
  </sheetData>
  <mergeCells count="1">
    <mergeCell ref="A89:H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1" min="2" style="0" width="9"/>
    <col collapsed="false" customWidth="true" hidden="false" outlineLevel="0" max="13" min="12" style="0" width="16"/>
  </cols>
  <sheetData>
    <row r="1" customFormat="false" ht="27.75" hidden="false" customHeight="true" outlineLevel="0" collapsed="false">
      <c r="A1" s="6" t="s">
        <v>263</v>
      </c>
      <c r="B1" s="6" t="s">
        <v>264</v>
      </c>
      <c r="C1" s="6" t="s">
        <v>265</v>
      </c>
      <c r="D1" s="6" t="s">
        <v>266</v>
      </c>
      <c r="E1" s="6" t="s">
        <v>267</v>
      </c>
      <c r="F1" s="6" t="s">
        <v>268</v>
      </c>
      <c r="G1" s="6" t="s">
        <v>269</v>
      </c>
      <c r="H1" s="6" t="s">
        <v>270</v>
      </c>
      <c r="I1" s="6" t="s">
        <v>271</v>
      </c>
      <c r="J1" s="6" t="s">
        <v>272</v>
      </c>
      <c r="K1" s="6" t="s">
        <v>273</v>
      </c>
      <c r="L1" s="6" t="s">
        <v>274</v>
      </c>
      <c r="M1" s="6" t="s">
        <v>275</v>
      </c>
    </row>
    <row r="2" customFormat="false" ht="15" hidden="false" customHeight="false" outlineLevel="0" collapsed="false">
      <c r="A2" s="19" t="s">
        <v>30</v>
      </c>
      <c r="B2" s="20" t="n">
        <v>8.7</v>
      </c>
      <c r="C2" s="21" t="n">
        <v>1.4</v>
      </c>
      <c r="D2" s="21" t="n">
        <v>38.9</v>
      </c>
      <c r="E2" s="21" t="n">
        <v>3.7</v>
      </c>
      <c r="F2" s="21" t="n">
        <v>-2.7</v>
      </c>
      <c r="G2" s="21" t="n">
        <v>7.9</v>
      </c>
      <c r="H2" s="21" t="n">
        <v>7.8</v>
      </c>
      <c r="I2" s="21" t="n">
        <v>25.2</v>
      </c>
      <c r="J2" s="21" t="n">
        <v>28</v>
      </c>
      <c r="K2" s="21" t="n">
        <v>10.2</v>
      </c>
      <c r="L2" s="22" t="n">
        <f aca="false">ROUND(AVERAGE(B2:K2),1)</f>
        <v>12.9</v>
      </c>
      <c r="M2" s="22" t="n">
        <f aca="false">ROUND(STDEV(B2:K2),1)</f>
        <v>13.3</v>
      </c>
    </row>
    <row r="3" customFormat="false" ht="15" hidden="false" customHeight="false" outlineLevel="0" collapsed="false">
      <c r="A3" s="7" t="s">
        <v>276</v>
      </c>
      <c r="B3" s="23" t="n">
        <v>-31.5</v>
      </c>
      <c r="C3" s="13" t="n">
        <v>8.9</v>
      </c>
      <c r="D3" s="13" t="n">
        <v>2.7</v>
      </c>
      <c r="E3" s="13" t="n">
        <v>-2.7</v>
      </c>
      <c r="F3" s="13" t="n">
        <v>4.7</v>
      </c>
      <c r="G3" s="13" t="n">
        <v>18</v>
      </c>
      <c r="H3" s="13" t="n">
        <v>-3.3</v>
      </c>
      <c r="I3" s="13" t="n">
        <v>32.2</v>
      </c>
      <c r="J3" s="13" t="n">
        <v>-4.9</v>
      </c>
      <c r="K3" s="13" t="n">
        <v>-5</v>
      </c>
      <c r="L3" s="22" t="n">
        <f aca="false">ROUND(AVERAGE(B3:K3),1)</f>
        <v>1.9</v>
      </c>
      <c r="M3" s="22" t="n">
        <f aca="false">ROUND(STDEV(B3:K3),1)</f>
        <v>16.6</v>
      </c>
    </row>
    <row r="4" customFormat="false" ht="15" hidden="false" customHeight="false" outlineLevel="0" collapsed="false">
      <c r="A4" s="7" t="s">
        <v>277</v>
      </c>
      <c r="B4" s="23" t="n">
        <v>20.5</v>
      </c>
      <c r="C4" s="13" t="n">
        <v>35.8</v>
      </c>
      <c r="D4" s="13" t="n">
        <v>31.4</v>
      </c>
      <c r="E4" s="13" t="n">
        <v>5.5</v>
      </c>
      <c r="F4" s="13" t="n">
        <v>11.1</v>
      </c>
      <c r="G4" s="13" t="n">
        <v>5.3</v>
      </c>
      <c r="H4" s="13" t="n">
        <v>38.3</v>
      </c>
      <c r="I4" s="13" t="n">
        <v>9.9</v>
      </c>
      <c r="J4" s="13" t="n">
        <v>14.7</v>
      </c>
      <c r="K4" s="13" t="n">
        <v>24.5</v>
      </c>
      <c r="L4" s="22" t="n">
        <f aca="false">ROUND(AVERAGE(B4:K4),1)</f>
        <v>19.7</v>
      </c>
      <c r="M4" s="22" t="n">
        <f aca="false">ROUND(STDEV(B4:K4),1)</f>
        <v>12.3</v>
      </c>
    </row>
    <row r="5" customFormat="false" ht="15" hidden="false" customHeight="false" outlineLevel="0" collapsed="false">
      <c r="A5" s="7" t="s">
        <v>160</v>
      </c>
      <c r="B5" s="23" t="n">
        <v>-9.5</v>
      </c>
      <c r="C5" s="13" t="n">
        <v>8.2</v>
      </c>
      <c r="D5" s="13" t="n">
        <v>74.2</v>
      </c>
      <c r="E5" s="13" t="n">
        <v>54.9</v>
      </c>
      <c r="F5" s="13" t="n">
        <v>37.9</v>
      </c>
      <c r="G5" s="13" t="n">
        <v>4.3</v>
      </c>
      <c r="H5" s="13" t="n">
        <v>47.7</v>
      </c>
      <c r="I5" s="13" t="n">
        <v>45</v>
      </c>
      <c r="J5" s="13" t="n">
        <v>-17.9</v>
      </c>
      <c r="K5" s="13" t="n">
        <v>17.4</v>
      </c>
      <c r="L5" s="22" t="n">
        <f aca="false">ROUND(AVERAGE(B5:K5),1)</f>
        <v>26.2</v>
      </c>
      <c r="M5" s="22" t="n">
        <f aca="false">ROUND(STDEV(B5:K5),1)</f>
        <v>30.1</v>
      </c>
    </row>
    <row r="6" customFormat="false" ht="15" hidden="false" customHeight="false" outlineLevel="0" collapsed="false">
      <c r="A6" s="7" t="s">
        <v>278</v>
      </c>
      <c r="B6" s="23" t="n">
        <v>-5.9</v>
      </c>
      <c r="C6" s="13" t="n">
        <v>16.7</v>
      </c>
      <c r="D6" s="13" t="n">
        <v>60.7</v>
      </c>
      <c r="E6" s="13" t="n">
        <v>-54.4</v>
      </c>
      <c r="F6" s="13" t="n">
        <v>19.5</v>
      </c>
      <c r="G6" s="13" t="n">
        <v>55.9</v>
      </c>
      <c r="H6" s="13" t="n">
        <v>-32.4</v>
      </c>
      <c r="I6" s="13" t="n">
        <v>63.2</v>
      </c>
      <c r="J6" s="13" t="n">
        <v>-43.6</v>
      </c>
      <c r="K6" s="13" t="n">
        <v>14.8</v>
      </c>
      <c r="L6" s="22" t="n">
        <f aca="false">ROUND(AVERAGE(B6:K6),1)</f>
        <v>9.5</v>
      </c>
      <c r="M6" s="22" t="n">
        <f aca="false">ROUND(STDEV(B6:K6),1)</f>
        <v>43.1</v>
      </c>
    </row>
    <row r="7" customFormat="false" ht="15" hidden="false" customHeight="false" outlineLevel="0" collapsed="false">
      <c r="A7" s="7" t="s">
        <v>279</v>
      </c>
      <c r="B7" s="23" t="n">
        <v>24.6</v>
      </c>
      <c r="C7" s="13" t="n">
        <v>1.9</v>
      </c>
      <c r="D7" s="13" t="n">
        <v>19.2</v>
      </c>
      <c r="E7" s="13" t="n">
        <v>-6.1</v>
      </c>
      <c r="F7" s="13" t="n">
        <v>35.8</v>
      </c>
      <c r="G7" s="13" t="n">
        <v>4.4</v>
      </c>
      <c r="H7" s="13" t="n">
        <v>21</v>
      </c>
      <c r="I7" s="13" t="n">
        <v>-0.7</v>
      </c>
      <c r="J7" s="13" t="n">
        <v>6</v>
      </c>
      <c r="K7" s="13" t="n">
        <v>39.4</v>
      </c>
      <c r="L7" s="22" t="n">
        <f aca="false">ROUND(AVERAGE(B7:K7),1)</f>
        <v>14.6</v>
      </c>
      <c r="M7" s="22" t="n">
        <f aca="false">ROUND(STDEV(B7:K7),1)</f>
        <v>15.7</v>
      </c>
    </row>
    <row r="8" customFormat="false" ht="15" hidden="false" customHeight="false" outlineLevel="0" collapsed="false">
      <c r="A8" s="7" t="s">
        <v>280</v>
      </c>
      <c r="B8" s="23" t="n">
        <v>42.8</v>
      </c>
      <c r="C8" s="13" t="n">
        <v>14.8</v>
      </c>
      <c r="D8" s="13" t="n">
        <v>32.8</v>
      </c>
      <c r="E8" s="13" t="n">
        <v>39</v>
      </c>
      <c r="F8" s="13" t="n">
        <v>-2.1</v>
      </c>
      <c r="G8" s="13" t="n">
        <v>40.1</v>
      </c>
      <c r="H8" s="13" t="n">
        <v>-10.5</v>
      </c>
      <c r="I8" s="13" t="n">
        <v>7.9</v>
      </c>
      <c r="J8" s="13" t="n">
        <v>8.2</v>
      </c>
      <c r="K8" s="13" t="n">
        <v>29</v>
      </c>
      <c r="L8" s="22" t="n">
        <f aca="false">ROUND(AVERAGE(B8:K8),1)</f>
        <v>20.2</v>
      </c>
      <c r="M8" s="22" t="n">
        <f aca="false">ROUND(STDEV(B8:K8),1)</f>
        <v>19</v>
      </c>
    </row>
    <row r="9" customFormat="false" ht="15" hidden="false" customHeight="false" outlineLevel="0" collapsed="false">
      <c r="A9" s="7" t="s">
        <v>281</v>
      </c>
      <c r="B9" s="23" t="n">
        <v>4.9</v>
      </c>
      <c r="C9" s="13" t="n">
        <v>-4.8</v>
      </c>
      <c r="D9" s="13" t="n">
        <v>12.1</v>
      </c>
      <c r="E9" s="13" t="n">
        <v>30.6</v>
      </c>
      <c r="F9" s="13" t="n">
        <v>29.1</v>
      </c>
      <c r="G9" s="13" t="n">
        <v>15.4</v>
      </c>
      <c r="H9" s="13" t="n">
        <v>3.9</v>
      </c>
      <c r="I9" s="13" t="n">
        <v>-11.1</v>
      </c>
      <c r="J9" s="13" t="n">
        <v>-3.4</v>
      </c>
      <c r="K9" s="13" t="n">
        <v>21.6</v>
      </c>
      <c r="L9" s="22" t="n">
        <f aca="false">ROUND(AVERAGE(B9:K9),1)</f>
        <v>9.8</v>
      </c>
      <c r="M9" s="22" t="n">
        <f aca="false">ROUND(STDEV(B9:K9),1)</f>
        <v>14.4</v>
      </c>
    </row>
    <row r="10" customFormat="false" ht="15" hidden="false" customHeight="false" outlineLevel="0" collapsed="false">
      <c r="A10" s="7" t="s">
        <v>282</v>
      </c>
      <c r="B10" s="23" t="n">
        <v>7.2</v>
      </c>
      <c r="C10" s="13" t="n">
        <v>5</v>
      </c>
      <c r="D10" s="13" t="n">
        <v>6.3</v>
      </c>
      <c r="E10" s="13" t="n">
        <v>6.5</v>
      </c>
      <c r="F10" s="13" t="n">
        <v>5.7</v>
      </c>
      <c r="G10" s="13" t="n">
        <v>6.5</v>
      </c>
      <c r="H10" s="13" t="n">
        <v>7.3</v>
      </c>
      <c r="I10" s="13" t="n">
        <v>5.6</v>
      </c>
      <c r="J10" s="13" t="n">
        <v>5.8</v>
      </c>
      <c r="K10" s="13" t="n">
        <v>6.8</v>
      </c>
      <c r="L10" s="22" t="n">
        <f aca="false">ROUND(AVERAGE(B10:K10),1)</f>
        <v>6.3</v>
      </c>
      <c r="M10" s="22" t="n">
        <f aca="false">ROUND(STDEV(B10:K10),1)</f>
        <v>0.7</v>
      </c>
    </row>
    <row r="11" customFormat="false" ht="15" hidden="false" customHeight="false" outlineLevel="0" collapsed="false">
      <c r="A11" s="7" t="s">
        <v>283</v>
      </c>
      <c r="B11" s="23" t="n">
        <v>5.1</v>
      </c>
      <c r="C11" s="13" t="n">
        <v>7.5</v>
      </c>
      <c r="D11" s="13" t="n">
        <v>5.5</v>
      </c>
      <c r="E11" s="13" t="n">
        <v>7.9</v>
      </c>
      <c r="F11" s="13" t="n">
        <v>7.8</v>
      </c>
      <c r="G11" s="13" t="n">
        <v>8.1</v>
      </c>
      <c r="H11" s="13" t="n">
        <v>8.1</v>
      </c>
      <c r="I11" s="13" t="n">
        <v>6.8</v>
      </c>
      <c r="J11" s="13" t="n">
        <v>6.4</v>
      </c>
      <c r="K11" s="13" t="n">
        <v>5.4</v>
      </c>
      <c r="L11" s="22" t="n">
        <f aca="false">ROUND(AVERAGE(B11:K11),1)</f>
        <v>6.9</v>
      </c>
      <c r="M11" s="22" t="n">
        <f aca="false">ROUND(STDEV(B11:K11),1)</f>
        <v>1.2</v>
      </c>
    </row>
    <row r="13" customFormat="false" ht="15" hidden="false" customHeight="false" outlineLevel="0" collapsed="false">
      <c r="A13" s="18" t="s">
        <v>284</v>
      </c>
      <c r="B13" s="18"/>
      <c r="C13" s="18"/>
      <c r="D13" s="18"/>
      <c r="E13" s="18"/>
      <c r="F13" s="18"/>
      <c r="G13" s="18"/>
      <c r="H13" s="18"/>
    </row>
  </sheetData>
  <mergeCells count="1">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20"/>
    <col collapsed="false" customWidth="true" hidden="false" outlineLevel="0" max="5" min="4" style="0" width="18"/>
    <col collapsed="false" customWidth="true" hidden="false" outlineLevel="0" max="6" min="6" style="0" width="20"/>
    <col collapsed="false" customWidth="true" hidden="false" outlineLevel="0" max="7" min="7" style="0" width="34"/>
    <col collapsed="false" customWidth="true" hidden="false" outlineLevel="0" max="8" min="8" style="0" width="40"/>
  </cols>
  <sheetData>
    <row r="1" customFormat="false" ht="27.75" hidden="false" customHeight="true" outlineLevel="0" collapsed="false">
      <c r="A1" s="6" t="s">
        <v>16</v>
      </c>
      <c r="B1" s="6" t="s">
        <v>285</v>
      </c>
      <c r="C1" s="6" t="s">
        <v>286</v>
      </c>
      <c r="D1" s="6" t="s">
        <v>287</v>
      </c>
      <c r="E1" s="6" t="s">
        <v>288</v>
      </c>
      <c r="F1" s="6" t="s">
        <v>289</v>
      </c>
      <c r="G1" s="6" t="s">
        <v>290</v>
      </c>
      <c r="H1" s="6" t="s">
        <v>291</v>
      </c>
    </row>
    <row r="2" customFormat="false" ht="30" hidden="false" customHeight="true" outlineLevel="0" collapsed="false">
      <c r="A2" s="24" t="s">
        <v>35</v>
      </c>
      <c r="B2" s="7" t="s">
        <v>292</v>
      </c>
      <c r="C2" s="8" t="s">
        <v>293</v>
      </c>
      <c r="D2" s="8" t="s">
        <v>294</v>
      </c>
      <c r="E2" s="8" t="s">
        <v>295</v>
      </c>
      <c r="F2" s="8" t="s">
        <v>296</v>
      </c>
      <c r="G2" s="8" t="s">
        <v>297</v>
      </c>
      <c r="H2" s="8" t="s">
        <v>298</v>
      </c>
    </row>
    <row r="3" customFormat="false" ht="30" hidden="false" customHeight="true" outlineLevel="0" collapsed="false">
      <c r="A3" s="25" t="s">
        <v>31</v>
      </c>
      <c r="B3" s="7" t="s">
        <v>299</v>
      </c>
      <c r="C3" s="8" t="s">
        <v>300</v>
      </c>
      <c r="D3" s="8" t="s">
        <v>301</v>
      </c>
      <c r="E3" s="8" t="s">
        <v>302</v>
      </c>
      <c r="F3" s="8" t="s">
        <v>303</v>
      </c>
      <c r="G3" s="8" t="s">
        <v>304</v>
      </c>
      <c r="H3" s="8" t="s">
        <v>305</v>
      </c>
    </row>
    <row r="4" customFormat="false" ht="30" hidden="false" customHeight="true" outlineLevel="0" collapsed="false">
      <c r="A4" s="26" t="s">
        <v>161</v>
      </c>
      <c r="B4" s="7" t="s">
        <v>306</v>
      </c>
      <c r="C4" s="8" t="s">
        <v>307</v>
      </c>
      <c r="D4" s="8" t="s">
        <v>308</v>
      </c>
      <c r="E4" s="8" t="s">
        <v>296</v>
      </c>
      <c r="F4" s="8" t="s">
        <v>295</v>
      </c>
      <c r="G4" s="8" t="s">
        <v>309</v>
      </c>
      <c r="H4" s="8" t="s">
        <v>310</v>
      </c>
    </row>
    <row r="5" customFormat="false" ht="30" hidden="false" customHeight="true" outlineLevel="0" collapsed="false">
      <c r="A5" s="27" t="s">
        <v>220</v>
      </c>
      <c r="B5" s="7" t="s">
        <v>311</v>
      </c>
      <c r="C5" s="8" t="s">
        <v>312</v>
      </c>
      <c r="D5" s="8" t="s">
        <v>313</v>
      </c>
      <c r="E5" s="8" t="s">
        <v>314</v>
      </c>
      <c r="F5" s="8" t="s">
        <v>315</v>
      </c>
      <c r="G5" s="8" t="s">
        <v>316</v>
      </c>
      <c r="H5" s="8" t="s">
        <v>317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3" min="3" style="0" width="14"/>
    <col collapsed="false" customWidth="true" hidden="false" outlineLevel="0" max="4" min="4" style="0" width="12"/>
    <col collapsed="false" customWidth="true" hidden="false" outlineLevel="0" max="5" min="5" style="0" width="16"/>
    <col collapsed="false" customWidth="true" hidden="false" outlineLevel="0" max="8" min="6" style="0" width="10"/>
    <col collapsed="false" customWidth="true" hidden="false" outlineLevel="0" max="10" min="9" style="0" width="16"/>
  </cols>
  <sheetData>
    <row r="1" customFormat="false" ht="15" hidden="false" customHeight="false" outlineLevel="0" collapsed="false">
      <c r="A1" s="28" t="s">
        <v>318</v>
      </c>
      <c r="B1" s="28"/>
      <c r="C1" s="28"/>
      <c r="D1" s="28"/>
      <c r="E1" s="28"/>
      <c r="F1" s="28"/>
    </row>
    <row r="2" customFormat="false" ht="27.75" hidden="false" customHeight="true" outlineLevel="0" collapsed="false">
      <c r="A2" s="6" t="s">
        <v>319</v>
      </c>
      <c r="B2" s="6" t="s">
        <v>320</v>
      </c>
      <c r="C2" s="6" t="s">
        <v>321</v>
      </c>
    </row>
    <row r="3" customFormat="false" ht="15" hidden="false" customHeight="false" outlineLevel="0" collapsed="false">
      <c r="A3" s="7" t="s">
        <v>322</v>
      </c>
      <c r="B3" s="23" t="n">
        <v>12</v>
      </c>
      <c r="C3" s="13" t="n">
        <v>18</v>
      </c>
    </row>
    <row r="4" customFormat="false" ht="15" hidden="false" customHeight="false" outlineLevel="0" collapsed="false">
      <c r="A4" s="7" t="s">
        <v>323</v>
      </c>
      <c r="B4" s="23" t="n">
        <v>15</v>
      </c>
      <c r="C4" s="13" t="n">
        <v>26</v>
      </c>
    </row>
    <row r="5" customFormat="false" ht="15" hidden="false" customHeight="false" outlineLevel="0" collapsed="false">
      <c r="A5" s="7" t="s">
        <v>324</v>
      </c>
      <c r="B5" s="23" t="n">
        <v>18</v>
      </c>
      <c r="C5" s="13" t="n">
        <v>38</v>
      </c>
    </row>
    <row r="6" customFormat="false" ht="15" hidden="false" customHeight="false" outlineLevel="0" collapsed="false">
      <c r="A6" s="7" t="s">
        <v>325</v>
      </c>
      <c r="B6" s="23" t="n">
        <v>7</v>
      </c>
      <c r="C6" s="13" t="n">
        <v>3</v>
      </c>
    </row>
    <row r="7" customFormat="false" ht="15" hidden="false" customHeight="false" outlineLevel="0" collapsed="false">
      <c r="A7" s="7" t="s">
        <v>326</v>
      </c>
      <c r="B7" s="23" t="n">
        <v>8</v>
      </c>
      <c r="C7" s="13" t="n">
        <v>15</v>
      </c>
    </row>
    <row r="10" customFormat="false" ht="15" hidden="false" customHeight="false" outlineLevel="0" collapsed="false">
      <c r="A10" s="28" t="s">
        <v>327</v>
      </c>
      <c r="B10" s="28"/>
      <c r="C10" s="28"/>
      <c r="D10" s="28"/>
      <c r="E10" s="28"/>
      <c r="F10" s="28"/>
    </row>
    <row r="11" customFormat="false" ht="27.75" hidden="false" customHeight="true" outlineLevel="0" collapsed="false">
      <c r="A11" s="6" t="s">
        <v>328</v>
      </c>
      <c r="B11" s="6" t="s">
        <v>329</v>
      </c>
      <c r="C11" s="6" t="s">
        <v>330</v>
      </c>
      <c r="D11" s="6" t="s">
        <v>331</v>
      </c>
      <c r="E11" s="6" t="s">
        <v>332</v>
      </c>
      <c r="F11" s="6" t="s">
        <v>333</v>
      </c>
      <c r="G11" s="6" t="s">
        <v>334</v>
      </c>
      <c r="H11" s="6" t="s">
        <v>335</v>
      </c>
      <c r="I11" s="6" t="s">
        <v>336</v>
      </c>
      <c r="J11" s="6" t="s">
        <v>337</v>
      </c>
    </row>
    <row r="12" customFormat="false" ht="15" hidden="false" customHeight="false" outlineLevel="0" collapsed="false">
      <c r="A12" s="7" t="s">
        <v>338</v>
      </c>
      <c r="B12" s="7" t="s">
        <v>339</v>
      </c>
      <c r="C12" s="29" t="n">
        <v>30</v>
      </c>
      <c r="D12" s="29" t="n">
        <v>10</v>
      </c>
      <c r="E12" s="29" t="n">
        <v>0</v>
      </c>
      <c r="F12" s="29" t="n">
        <v>50</v>
      </c>
      <c r="G12" s="29" t="n">
        <v>10</v>
      </c>
      <c r="H12" s="29" t="n">
        <v>100</v>
      </c>
      <c r="I12" s="30" t="n">
        <f aca="false">ROUND((C12*$B$3+D12*$B$4+E12*$B$5+F12*$B$6+G12*$B$7)/100,2)</f>
        <v>9.4</v>
      </c>
      <c r="J12" s="30" t="n">
        <f aca="false">ROUND((C12*$C$3+D12*$C$4+E12*$C$5+F12*$C$6+G12*$C$7)/100,2)</f>
        <v>11</v>
      </c>
    </row>
    <row r="13" customFormat="false" ht="15" hidden="false" customHeight="false" outlineLevel="0" collapsed="false">
      <c r="A13" s="7" t="s">
        <v>340</v>
      </c>
      <c r="B13" s="7" t="s">
        <v>299</v>
      </c>
      <c r="C13" s="29" t="n">
        <v>35</v>
      </c>
      <c r="D13" s="29" t="n">
        <v>20</v>
      </c>
      <c r="E13" s="29" t="n">
        <v>10</v>
      </c>
      <c r="F13" s="29" t="n">
        <v>25</v>
      </c>
      <c r="G13" s="29" t="n">
        <v>10</v>
      </c>
      <c r="H13" s="29" t="n">
        <v>100</v>
      </c>
      <c r="I13" s="30" t="n">
        <f aca="false">ROUND((C13*$B$3+D13*$B$4+E13*$B$5+F13*$B$6+G13*$B$7)/100,2)</f>
        <v>11.55</v>
      </c>
      <c r="J13" s="30" t="n">
        <f aca="false">ROUND((C13*$C$3+D13*$C$4+E13*$C$5+F13*$C$6+G13*$C$7)/100,2)</f>
        <v>17.55</v>
      </c>
    </row>
    <row r="14" customFormat="false" ht="15" hidden="false" customHeight="false" outlineLevel="0" collapsed="false">
      <c r="A14" s="7" t="s">
        <v>341</v>
      </c>
      <c r="B14" s="7" t="s">
        <v>342</v>
      </c>
      <c r="C14" s="29" t="n">
        <v>30</v>
      </c>
      <c r="D14" s="29" t="n">
        <v>30</v>
      </c>
      <c r="E14" s="29" t="n">
        <v>25</v>
      </c>
      <c r="F14" s="29" t="n">
        <v>10</v>
      </c>
      <c r="G14" s="29" t="n">
        <v>5</v>
      </c>
      <c r="H14" s="29" t="n">
        <v>100</v>
      </c>
      <c r="I14" s="30" t="n">
        <f aca="false">ROUND((C14*$B$3+D14*$B$4+E14*$B$5+F14*$B$6+G14*$B$7)/100,2)</f>
        <v>13.7</v>
      </c>
      <c r="J14" s="30" t="n">
        <f aca="false">ROUND((C14*$C$3+D14*$C$4+E14*$C$5+F14*$C$6+G14*$C$7)/100,2)</f>
        <v>23.75</v>
      </c>
    </row>
    <row r="15" customFormat="false" ht="15" hidden="false" customHeight="false" outlineLevel="0" collapsed="false">
      <c r="A15" s="7" t="s">
        <v>343</v>
      </c>
      <c r="B15" s="7" t="s">
        <v>344</v>
      </c>
      <c r="C15" s="29" t="n">
        <v>20</v>
      </c>
      <c r="D15" s="29" t="n">
        <v>30</v>
      </c>
      <c r="E15" s="29" t="n">
        <v>40</v>
      </c>
      <c r="F15" s="29" t="n">
        <v>5</v>
      </c>
      <c r="G15" s="29" t="n">
        <v>5</v>
      </c>
      <c r="H15" s="29" t="n">
        <v>100</v>
      </c>
      <c r="I15" s="30" t="n">
        <f aca="false">ROUND((C15*$B$3+D15*$B$4+E15*$B$5+F15*$B$6+G15*$B$7)/100,2)</f>
        <v>14.85</v>
      </c>
      <c r="J15" s="30" t="n">
        <f aca="false">ROUND((C15*$C$3+D15*$C$4+E15*$C$5+F15*$C$6+G15*$C$7)/100,2)</f>
        <v>27.5</v>
      </c>
    </row>
    <row r="17" customFormat="false" ht="25.5" hidden="false" customHeight="true" outlineLevel="0" collapsed="false">
      <c r="A17" s="18" t="s">
        <v>345</v>
      </c>
      <c r="B17" s="18"/>
      <c r="C17" s="18"/>
      <c r="D17" s="18"/>
      <c r="E17" s="18"/>
      <c r="F17" s="18"/>
      <c r="G17" s="18"/>
      <c r="H17" s="18"/>
    </row>
  </sheetData>
  <mergeCells count="3">
    <mergeCell ref="A1:F1"/>
    <mergeCell ref="A10:F10"/>
    <mergeCell ref="A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7"/>
    <col collapsed="false" customWidth="true" hidden="false" outlineLevel="0" max="4" min="4" style="0" width="16"/>
    <col collapsed="false" customWidth="true" hidden="false" outlineLevel="0" max="5" min="5" style="0" width="13"/>
    <col collapsed="false" customWidth="true" hidden="false" outlineLevel="0" max="6" min="6" style="0" width="26"/>
    <col collapsed="false" customWidth="true" hidden="false" outlineLevel="0" max="7" min="7" style="0" width="13"/>
    <col collapsed="false" customWidth="true" hidden="false" outlineLevel="0" max="8" min="8" style="0" width="20"/>
    <col collapsed="false" customWidth="true" hidden="false" outlineLevel="0" max="9" min="9" style="0" width="22"/>
    <col collapsed="false" customWidth="true" hidden="false" outlineLevel="0" max="10" min="10" style="0" width="18"/>
    <col collapsed="false" customWidth="true" hidden="false" outlineLevel="0" max="11" min="11" style="0" width="22"/>
  </cols>
  <sheetData>
    <row r="1" customFormat="false" ht="27.75" hidden="false" customHeight="true" outlineLevel="0" collapsed="false">
      <c r="A1" s="6" t="s">
        <v>346</v>
      </c>
      <c r="B1" s="6" t="s">
        <v>347</v>
      </c>
      <c r="C1" s="6" t="s">
        <v>348</v>
      </c>
      <c r="D1" s="6" t="s">
        <v>349</v>
      </c>
      <c r="E1" s="6" t="s">
        <v>350</v>
      </c>
      <c r="F1" s="6" t="s">
        <v>351</v>
      </c>
      <c r="G1" s="6" t="s">
        <v>352</v>
      </c>
      <c r="H1" s="6" t="s">
        <v>353</v>
      </c>
      <c r="I1" s="6" t="s">
        <v>354</v>
      </c>
      <c r="J1" s="6" t="s">
        <v>355</v>
      </c>
      <c r="K1" s="6" t="s">
        <v>356</v>
      </c>
    </row>
    <row r="2" customFormat="false" ht="15" hidden="false" customHeight="false" outlineLevel="0" collapsed="false">
      <c r="A2" s="7" t="s">
        <v>357</v>
      </c>
      <c r="B2" s="7" t="s">
        <v>358</v>
      </c>
      <c r="C2" s="8" t="n">
        <v>58</v>
      </c>
      <c r="D2" s="31" t="n">
        <v>12500000</v>
      </c>
      <c r="E2" s="15" t="s">
        <v>35</v>
      </c>
      <c r="F2" s="8" t="s">
        <v>359</v>
      </c>
      <c r="G2" s="8" t="n">
        <v>5</v>
      </c>
      <c r="H2" s="31" t="n">
        <v>30000</v>
      </c>
      <c r="I2" s="8" t="s">
        <v>338</v>
      </c>
      <c r="J2" s="30" t="n">
        <f aca="false">ROUND(INDEX(Sample_Financial_Plans!$I$12:$I$15,MATCH(I2,Sample_Financial_Plans!$A$12:$A$15,0)),2)</f>
        <v>9.4</v>
      </c>
      <c r="K2" s="8" t="s">
        <v>340</v>
      </c>
    </row>
    <row r="3" customFormat="false" ht="15" hidden="false" customHeight="false" outlineLevel="0" collapsed="false">
      <c r="A3" s="7" t="s">
        <v>360</v>
      </c>
      <c r="B3" s="7" t="s">
        <v>361</v>
      </c>
      <c r="C3" s="8" t="n">
        <v>34</v>
      </c>
      <c r="D3" s="31" t="n">
        <v>4200000</v>
      </c>
      <c r="E3" s="9" t="s">
        <v>31</v>
      </c>
      <c r="F3" s="8" t="s">
        <v>362</v>
      </c>
      <c r="G3" s="8" t="n">
        <v>12</v>
      </c>
      <c r="H3" s="31" t="n">
        <v>45000</v>
      </c>
      <c r="I3" s="8" t="s">
        <v>340</v>
      </c>
      <c r="J3" s="30" t="n">
        <f aca="false">ROUND(INDEX(Sample_Financial_Plans!$I$12:$I$15,MATCH(I3,Sample_Financial_Plans!$A$12:$A$15,0)),2)</f>
        <v>11.55</v>
      </c>
      <c r="K3" s="8" t="s">
        <v>341</v>
      </c>
    </row>
    <row r="4" customFormat="false" ht="15" hidden="false" customHeight="false" outlineLevel="0" collapsed="false">
      <c r="A4" s="7" t="s">
        <v>363</v>
      </c>
      <c r="B4" s="7" t="s">
        <v>364</v>
      </c>
      <c r="C4" s="8" t="n">
        <v>29</v>
      </c>
      <c r="D4" s="31" t="n">
        <v>950000</v>
      </c>
      <c r="E4" s="16" t="s">
        <v>161</v>
      </c>
      <c r="F4" s="8" t="s">
        <v>365</v>
      </c>
      <c r="G4" s="8" t="n">
        <v>20</v>
      </c>
      <c r="H4" s="31" t="n">
        <v>25000</v>
      </c>
      <c r="I4" s="8" t="s">
        <v>341</v>
      </c>
      <c r="J4" s="30" t="n">
        <f aca="false">ROUND(INDEX(Sample_Financial_Plans!$I$12:$I$15,MATCH(I4,Sample_Financial_Plans!$A$12:$A$15,0)),2)</f>
        <v>13.7</v>
      </c>
      <c r="K4" s="8" t="s">
        <v>343</v>
      </c>
    </row>
    <row r="5" customFormat="false" ht="15" hidden="false" customHeight="false" outlineLevel="0" collapsed="false">
      <c r="A5" s="7" t="s">
        <v>366</v>
      </c>
      <c r="B5" s="7" t="s">
        <v>367</v>
      </c>
      <c r="C5" s="8" t="n">
        <v>26</v>
      </c>
      <c r="D5" s="31" t="n">
        <v>300000</v>
      </c>
      <c r="E5" s="17" t="s">
        <v>220</v>
      </c>
      <c r="F5" s="8" t="s">
        <v>368</v>
      </c>
      <c r="G5" s="8" t="n">
        <v>25</v>
      </c>
      <c r="H5" s="31" t="n">
        <v>15000</v>
      </c>
      <c r="I5" s="8" t="s">
        <v>343</v>
      </c>
      <c r="J5" s="30" t="n">
        <f aca="false">ROUND(INDEX(Sample_Financial_Plans!$I$12:$I$15,MATCH(I5,Sample_Financial_Plans!$A$12:$A$15,0)),2)</f>
        <v>14.85</v>
      </c>
      <c r="K5" s="8" t="s">
        <v>341</v>
      </c>
    </row>
    <row r="6" customFormat="false" ht="15" hidden="false" customHeight="false" outlineLevel="0" collapsed="false">
      <c r="A6" s="7" t="s">
        <v>369</v>
      </c>
      <c r="B6" s="7" t="s">
        <v>370</v>
      </c>
      <c r="C6" s="8" t="n">
        <v>45</v>
      </c>
      <c r="D6" s="31" t="n">
        <v>8000000</v>
      </c>
      <c r="E6" s="9" t="s">
        <v>31</v>
      </c>
      <c r="F6" s="8" t="s">
        <v>371</v>
      </c>
      <c r="G6" s="8" t="n">
        <v>3</v>
      </c>
      <c r="H6" s="31" t="n">
        <v>60000</v>
      </c>
      <c r="I6" s="8" t="s">
        <v>340</v>
      </c>
      <c r="J6" s="30" t="n">
        <f aca="false">ROUND(INDEX(Sample_Financial_Plans!$I$12:$I$15,MATCH(I6,Sample_Financial_Plans!$A$12:$A$15,0)),2)</f>
        <v>11.55</v>
      </c>
      <c r="K6" s="8" t="s">
        <v>338</v>
      </c>
    </row>
    <row r="8" customFormat="false" ht="39.75" hidden="false" customHeight="true" outlineLevel="0" collapsed="false">
      <c r="A8" s="18" t="s">
        <v>372</v>
      </c>
      <c r="B8" s="18"/>
      <c r="C8" s="18"/>
      <c r="D8" s="18"/>
      <c r="E8" s="18"/>
      <c r="F8" s="18"/>
      <c r="G8" s="18"/>
      <c r="H8" s="18"/>
    </row>
  </sheetData>
  <mergeCells count="1">
    <mergeCell ref="A8:H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2026-08-26T07:59:49Z</dcterms:created>
  <dc:creator>openpyxl</dc:creator>
  <dc:description/>
  <dc:language>en-US</dc:language>
  <cp:lastModifiedBy/>
  <dcterms:modified xsi:type="dcterms:W3CDTF">2026-08-26T07:59:49Z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